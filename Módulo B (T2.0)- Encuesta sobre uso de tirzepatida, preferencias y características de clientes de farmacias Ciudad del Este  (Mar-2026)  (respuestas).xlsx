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Monitoreo_M(B)_T2.0" sheetId="2" r:id="rId6"/>
    <sheet state="visible" name="EXTRAPOLACION" sheetId="3" r:id="rId7"/>
  </sheets>
  <definedNames>
    <definedName hidden="1" localSheetId="0" name="_xlnm._FilterDatabase">'Respuestas de formulario 1'!$A$1:$AE$42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<sst xmlns="http://schemas.openxmlformats.org/spreadsheetml/2006/main" count="1032" uniqueCount="161">
  <si>
    <t>Marca temporal</t>
  </si>
  <si>
    <t xml:space="preserve">Código del encuestador </t>
  </si>
  <si>
    <t>Nombre del local</t>
  </si>
  <si>
    <t>Nacionalidad (Entrevistado/a</t>
  </si>
  <si>
    <t>Edad</t>
  </si>
  <si>
    <t>Sexo</t>
  </si>
  <si>
    <t xml:space="preserve">
A1. En este local¿Compró usted hoy algún medicamento que contenga tirzepatida?: </t>
  </si>
  <si>
    <t xml:space="preserve">A1.1. ¿De qué marca? </t>
  </si>
  <si>
    <t>A1.2. Especificar la marca (Si marcó la opc. Otro)</t>
  </si>
  <si>
    <t>A2. Este producto fue comprado para:</t>
  </si>
  <si>
    <t xml:space="preserve">
A3. ¿Con qué frecuencia compra este producto aproximadamente?</t>
  </si>
  <si>
    <t xml:space="preserve">
B1. ¿Cuál es el principal motivo por el que utiliza tirzepatida? (Respuesta espontánea) </t>
  </si>
  <si>
    <t>B.1.1. Especificar  (Si marcó la opc. Otro)</t>
  </si>
  <si>
    <t xml:space="preserve">
B2. ¿Cuál fue el factor más importante en su decisión de compra?</t>
  </si>
  <si>
    <t xml:space="preserve">B3. ¿Qué información le gustaría recibir sobre este medicamento? </t>
  </si>
  <si>
    <t xml:space="preserve">C1. ¿Quién le recomendó/ indicó usar tirzepatida? </t>
  </si>
  <si>
    <t>C.1.1. Especificar  (Si marcó la opc. Otro)</t>
  </si>
  <si>
    <t>C2.  ¿Cuál fue el factor más importante en su decisión de compra?</t>
  </si>
  <si>
    <t>C.2.1. Especificar  (Si marcó la opc. Otro)</t>
  </si>
  <si>
    <t xml:space="preserve">D.1. ¿Cuánto pagó por cada caja? </t>
  </si>
  <si>
    <t>D.1.1. Unidad Monetaria</t>
  </si>
  <si>
    <t>D2. ¿Considera que el precio de tirzepatida es:?</t>
  </si>
  <si>
    <t>A4. ¿En que presentación (en mg) compró hoy?</t>
  </si>
  <si>
    <t>A.4.1. Especificar  (Si marcó la opc. Otra)</t>
  </si>
  <si>
    <t>A.5. ¿Esta es la presentación que elije siempre que compra?</t>
  </si>
  <si>
    <t>Columna 26</t>
  </si>
  <si>
    <t>Columna 27</t>
  </si>
  <si>
    <t>Columna 28</t>
  </si>
  <si>
    <t>Columna 29</t>
  </si>
  <si>
    <t>Columna 30</t>
  </si>
  <si>
    <t>Columna 31</t>
  </si>
  <si>
    <t>FarmaCon</t>
  </si>
  <si>
    <t>Brasilera</t>
  </si>
  <si>
    <t>Masculino</t>
  </si>
  <si>
    <t>Sí</t>
  </si>
  <si>
    <t>Tirzedral</t>
  </si>
  <si>
    <t>Para un familiar</t>
  </si>
  <si>
    <t>Ocasionalmente</t>
  </si>
  <si>
    <t>Recomendación médica general</t>
  </si>
  <si>
    <t>Recomendación del médico</t>
  </si>
  <si>
    <t>Seguridad / efectos secundarios</t>
  </si>
  <si>
    <t>Médico especialista (endocrinólogo / diabetólogo)</t>
  </si>
  <si>
    <t>Dolar Americano</t>
  </si>
  <si>
    <t>Adecuado</t>
  </si>
  <si>
    <t>15 mg</t>
  </si>
  <si>
    <t>Cell Shopp</t>
  </si>
  <si>
    <t>T.G.</t>
  </si>
  <si>
    <t>Uso propio</t>
  </si>
  <si>
    <t>Cada mes</t>
  </si>
  <si>
    <t>Pérdida de peso</t>
  </si>
  <si>
    <t>Resultados para bajar de peso</t>
  </si>
  <si>
    <t>Resultados de pérdida de peso, Comparación con otros tratamientos</t>
  </si>
  <si>
    <t>Médico clínico</t>
  </si>
  <si>
    <t>Reales</t>
  </si>
  <si>
    <t>Barato</t>
  </si>
  <si>
    <t>Femenino</t>
  </si>
  <si>
    <t>Cada 2 - 3 meses</t>
  </si>
  <si>
    <t>Promociones / precio, Recomendaciones de médicos</t>
  </si>
  <si>
    <t>Promociones / precio</t>
  </si>
  <si>
    <t>Argentina</t>
  </si>
  <si>
    <t>Lipoless</t>
  </si>
  <si>
    <t>Resultados de pérdida de peso, Seguridad / efectos secundarios, Promociones / precio</t>
  </si>
  <si>
    <t>Caro</t>
  </si>
  <si>
    <t>Resultados de pérdida de peso, Seguridad / efectos secundarios</t>
  </si>
  <si>
    <t>Decisión propia</t>
  </si>
  <si>
    <t>Columbia</t>
  </si>
  <si>
    <t>Tirzec</t>
  </si>
  <si>
    <t>Resultados de pérdida de peso</t>
  </si>
  <si>
    <t>Redes sociales / internet</t>
  </si>
  <si>
    <t>Farma Shop Dior</t>
  </si>
  <si>
    <t>Guaraníes</t>
  </si>
  <si>
    <t>5 mg</t>
  </si>
  <si>
    <t>Triunfo</t>
  </si>
  <si>
    <t>2,5 mg</t>
  </si>
  <si>
    <t>Resultados de pérdida de peso, Seguridad / efectos secundarios, Comparación con otros tratamientos, Promociones / precio, Recomendaciones de médicos</t>
  </si>
  <si>
    <t>12,5 mg</t>
  </si>
  <si>
    <t>Recomendaciones de médicos</t>
  </si>
  <si>
    <t>Amigo/familiar</t>
  </si>
  <si>
    <t>Resultados de pérdida de peso, Seguridad / efectos secundarios, Comparación con otros tratamientos</t>
  </si>
  <si>
    <t>Para otra persona (no familiar)</t>
  </si>
  <si>
    <t>7,5 mg</t>
  </si>
  <si>
    <t>Control de diabetes tipo 2</t>
  </si>
  <si>
    <t>No</t>
  </si>
  <si>
    <t>Paraguaya</t>
  </si>
  <si>
    <t>10 mg</t>
  </si>
  <si>
    <t>Primera compra</t>
  </si>
  <si>
    <t>Opiniones de otras personas</t>
  </si>
  <si>
    <t>Gluconex</t>
  </si>
  <si>
    <t>Resultados de pérdida de peso, Seguridad / efectos secundarios, Recomendaciones de médicos</t>
  </si>
  <si>
    <t>Resultados de pérdida de peso, Promociones / precio</t>
  </si>
  <si>
    <t>Cada semana</t>
  </si>
  <si>
    <t>Resultados de pérdida de peso, Comparación con otros tratamientos, Promociones / precio</t>
  </si>
  <si>
    <t>ICLINIC</t>
  </si>
  <si>
    <t>Uso propio, Para un familiar</t>
  </si>
  <si>
    <t>Seguridad / efectos secundarios, Promociones / precio</t>
  </si>
  <si>
    <t xml:space="preserve">COUNTA de A1.1. ¿De qué marca? </t>
  </si>
  <si>
    <t>Suma total</t>
  </si>
  <si>
    <t>COUNTA de 
A3. ¿Con qué frecuencia compra este producto aproximadamente?</t>
  </si>
  <si>
    <t xml:space="preserve">MEDIAN de D.1. ¿Cuánto pagó por cada caja? </t>
  </si>
  <si>
    <t>COUNTA de A4. ¿En que presentación (en mg) compró hoy?</t>
  </si>
  <si>
    <t>COUNTA de A.5. ¿Esta es la presentación que elije siempre que compra?</t>
  </si>
  <si>
    <t>Total 10 mg</t>
  </si>
  <si>
    <t>Total 12,5 mg</t>
  </si>
  <si>
    <t>Total 15 mg</t>
  </si>
  <si>
    <t>Total 2,5 mg</t>
  </si>
  <si>
    <t>Total 5 mg</t>
  </si>
  <si>
    <t>Total 7,5 mg</t>
  </si>
  <si>
    <t>COUNTA de Nacionalidad (Entrevistado/a</t>
  </si>
  <si>
    <t xml:space="preserve">Estabelcimientos </t>
  </si>
  <si>
    <t>Ventas en años</t>
  </si>
  <si>
    <t>Marcas</t>
  </si>
  <si>
    <t xml:space="preserve">Stock </t>
  </si>
  <si>
    <t>Unidades  ( semana)</t>
  </si>
  <si>
    <t>T. Ventas</t>
  </si>
  <si>
    <t>IC.Cajas por clientes (dia)</t>
  </si>
  <si>
    <t>Cajas por clientes (dia)</t>
  </si>
  <si>
    <t>Cajas por clientes (semana)</t>
  </si>
  <si>
    <t xml:space="preserve">Visitas clientes Tir (dia)  </t>
  </si>
  <si>
    <t>Visitas clientesTir (semana)</t>
  </si>
  <si>
    <t>Costo cajas med ( USD)</t>
  </si>
  <si>
    <t>Total Cajas   (D)</t>
  </si>
  <si>
    <t>Total Cajas   (S)</t>
  </si>
  <si>
    <t>Total Cajas   (M)</t>
  </si>
  <si>
    <t>Total Cajas   (A)</t>
  </si>
  <si>
    <t>Total Ventas USD (D)</t>
  </si>
  <si>
    <t>Total Ventas USD (S)</t>
  </si>
  <si>
    <t>Total Ventas USD (M)</t>
  </si>
  <si>
    <t>Total Ventas USD (A)</t>
  </si>
  <si>
    <t>Total Ventas GS (A)</t>
  </si>
  <si>
    <t>Orden $</t>
  </si>
  <si>
    <t>&gt; 3 añ0s</t>
  </si>
  <si>
    <t>Tirzec, T.G., Gluconex, Lipoless, Lipoland</t>
  </si>
  <si>
    <t xml:space="preserve">Estable </t>
  </si>
  <si>
    <t>Aumento</t>
  </si>
  <si>
    <t>2 a 5</t>
  </si>
  <si>
    <t>&lt; 1 año</t>
  </si>
  <si>
    <t>Tirzec, T.G., Gluconex, Lipoless, Tirzedral</t>
  </si>
  <si>
    <t>Tirzec, T.G., Gluconex, Lipoless, Tirzedral, Lipoland</t>
  </si>
  <si>
    <t>7 a 11</t>
  </si>
  <si>
    <t xml:space="preserve">Tirzec, T.G., Gluconex, Lipoless, </t>
  </si>
  <si>
    <t xml:space="preserve"> </t>
  </si>
  <si>
    <t>Escasez (1 semana x mes)</t>
  </si>
  <si>
    <t>Mantiene</t>
  </si>
  <si>
    <t>MEDIA</t>
  </si>
  <si>
    <t>CDE.  Farmacias MG*50</t>
  </si>
  <si>
    <t>CDE.  Farmacias MG*51</t>
  </si>
  <si>
    <t xml:space="preserve">CDE. Turistas </t>
  </si>
  <si>
    <t>CDE. Ventas</t>
  </si>
  <si>
    <t>*Proveedor de pequeñas farmacias</t>
  </si>
  <si>
    <t>Peso por clientes (dia)</t>
  </si>
  <si>
    <t>Ventas (peso cliente)</t>
  </si>
  <si>
    <t>Farmacia Pink</t>
  </si>
  <si>
    <t>Cellshop</t>
  </si>
  <si>
    <t>Farmacia Brasil</t>
  </si>
  <si>
    <t>Farmacia Do Sul</t>
  </si>
  <si>
    <t>Farmacia Columbia</t>
  </si>
  <si>
    <t>Shopping China</t>
  </si>
  <si>
    <t>Farmacia Triunfo</t>
  </si>
  <si>
    <t>Lipoland</t>
  </si>
  <si>
    <t>TirzseBound</t>
  </si>
  <si>
    <t>*AJUATAMOS DESDE LA SEGUNDA SEMANA*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</si>
</sst>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_ * #,##0_ ;_ * \-#,##0_ ;_ * &quot;-&quot;??_ ;_ @_ "/>
    <numFmt numFmtId="166" formatCode="_(* #,##0_);_(* \(#,##0\);_(* &quot;-&quot;_);_(@_)"/>
    <numFmt numFmtId="167" formatCode="_ * #,##0.00_ ;_ * \-#,##0.00_ ;_ * &quot;-&quot;??_ ;_ @_ "/>
    <numFmt numFmtId="168" formatCode="0.000_ "/>
    <numFmt numFmtId="169" formatCode="0.00_ 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7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FF0000"/>
      <name val="Calibri"/>
    </font>
    <font>
      <sz val="12.0"/>
      <color theme="1"/>
      <name val="Calibri"/>
    </font>
    <font>
      <sz val="14.0"/>
      <color theme="1"/>
      <name val="Calibri"/>
    </font>
    <font>
      <sz val="14.0"/>
      <color rgb="FFFF0000"/>
      <name val="Calibri"/>
    </font>
    <font>
      <b/>
      <sz val="11.0"/>
      <color theme="1"/>
      <name val="Calibri"/>
    </font>
    <font>
      <color rgb="FFFFFFFF"/>
      <name val="Arial"/>
    </font>
    <font>
      <sz val="11.0"/>
      <color theme="1"/>
      <name val="Arial"/>
    </font>
    <font>
      <sz val="11.0"/>
      <color rgb="FFFF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FD966"/>
        <bgColor rgb="FFFFD966"/>
      </patternFill>
    </fill>
    <fill>
      <patternFill patternType="solid">
        <fgColor rgb="FFFEE599"/>
        <bgColor rgb="FFFEE599"/>
      </patternFill>
    </fill>
    <fill>
      <patternFill patternType="solid">
        <fgColor rgb="FF434343"/>
        <bgColor rgb="FF434343"/>
      </patternFill>
    </fill>
    <fill>
      <patternFill patternType="solid">
        <fgColor rgb="FF3F3F3F"/>
        <bgColor rgb="FF3F3F3F"/>
      </patternFill>
    </fill>
    <fill>
      <patternFill patternType="solid">
        <fgColor rgb="FFB4C6E7"/>
        <bgColor rgb="FFB4C6E7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7CDB05"/>
        <bgColor rgb="FF7CDB05"/>
      </patternFill>
    </fill>
    <fill>
      <patternFill patternType="solid">
        <fgColor rgb="FF00B0F0"/>
        <bgColor rgb="FF00B0F0"/>
      </patternFill>
    </fill>
    <fill>
      <patternFill patternType="solid">
        <fgColor rgb="FF8093B3"/>
        <bgColor rgb="FF8093B3"/>
      </patternFill>
    </fill>
    <fill>
      <patternFill patternType="solid">
        <fgColor rgb="FFA8D08D"/>
        <bgColor rgb="FFA8D08D"/>
      </patternFill>
    </fill>
    <fill>
      <patternFill patternType="solid">
        <fgColor rgb="FFBF9000"/>
        <bgColor rgb="FFBF9000"/>
      </patternFill>
    </fill>
    <fill>
      <patternFill patternType="solid">
        <fgColor rgb="FFF7CBAC"/>
        <bgColor rgb="FFF7CBAC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70AD47"/>
        <bgColor rgb="FF70AD4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5" fontId="5" numFmtId="16" xfId="0" applyAlignment="1" applyBorder="1" applyFill="1" applyFont="1" applyNumberFormat="1">
      <alignment vertical="bottom"/>
    </xf>
    <xf borderId="1" fillId="5" fontId="3" numFmtId="0" xfId="0" applyAlignment="1" applyBorder="1" applyFont="1">
      <alignment vertical="bottom"/>
    </xf>
    <xf borderId="1" fillId="2" fontId="3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6" fontId="3" numFmtId="0" xfId="0" applyAlignment="1" applyBorder="1" applyFill="1" applyFont="1">
      <alignment horizontal="right" vertical="bottom"/>
    </xf>
    <xf borderId="1" fillId="3" fontId="3" numFmtId="0" xfId="0" applyAlignment="1" applyBorder="1" applyFont="1">
      <alignment horizontal="right" vertical="bottom"/>
    </xf>
    <xf borderId="1" fillId="7" fontId="3" numFmtId="165" xfId="0" applyAlignment="1" applyBorder="1" applyFill="1" applyFont="1" applyNumberFormat="1">
      <alignment horizontal="right" vertical="bottom"/>
    </xf>
    <xf borderId="1" fillId="2" fontId="5" numFmtId="165" xfId="0" applyAlignment="1" applyBorder="1" applyFont="1" applyNumberFormat="1">
      <alignment horizontal="right" vertical="bottom"/>
    </xf>
    <xf borderId="1" fillId="4" fontId="6" numFmtId="165" xfId="0" applyAlignment="1" applyBorder="1" applyFont="1" applyNumberFormat="1">
      <alignment horizontal="right" vertical="bottom"/>
    </xf>
    <xf borderId="1" fillId="4" fontId="3" numFmtId="165" xfId="0" applyAlignment="1" applyBorder="1" applyFont="1" applyNumberFormat="1">
      <alignment horizontal="right" vertical="bottom"/>
    </xf>
    <xf borderId="1" fillId="4" fontId="7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8" fontId="3" numFmtId="165" xfId="0" applyAlignment="1" applyBorder="1" applyFill="1" applyFont="1" applyNumberFormat="1">
      <alignment horizontal="right" vertical="bottom"/>
    </xf>
    <xf borderId="1" fillId="8" fontId="3" numFmtId="0" xfId="0" applyAlignment="1" applyBorder="1" applyFon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right" vertical="bottom"/>
    </xf>
    <xf borderId="1" fillId="8" fontId="5" numFmtId="165" xfId="0" applyAlignment="1" applyBorder="1" applyFont="1" applyNumberFormat="1">
      <alignment horizontal="right" vertical="bottom"/>
    </xf>
    <xf borderId="1" fillId="8" fontId="6" numFmtId="165" xfId="0" applyAlignment="1" applyBorder="1" applyFont="1" applyNumberFormat="1">
      <alignment horizontal="right" vertical="bottom"/>
    </xf>
    <xf borderId="1" fillId="8" fontId="8" numFmtId="165" xfId="0" applyAlignment="1" applyBorder="1" applyFont="1" applyNumberFormat="1">
      <alignment horizontal="right" vertical="bottom"/>
    </xf>
    <xf borderId="0" fillId="8" fontId="4" numFmtId="0" xfId="0" applyAlignment="1" applyFont="1">
      <alignment vertical="bottom"/>
    </xf>
    <xf borderId="1" fillId="9" fontId="3" numFmtId="165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5" fontId="5" numFmtId="0" xfId="0" applyAlignment="1" applyBorder="1" applyFont="1">
      <alignment vertical="bottom"/>
    </xf>
    <xf borderId="1" fillId="8" fontId="3" numFmtId="0" xfId="0" applyAlignment="1" applyBorder="1" applyFont="1">
      <alignment readingOrder="0" vertical="bottom"/>
    </xf>
    <xf borderId="1" fillId="8" fontId="5" numFmtId="0" xfId="0" applyAlignment="1" applyBorder="1" applyFont="1">
      <alignment vertical="bottom"/>
    </xf>
    <xf borderId="1" fillId="8" fontId="7" numFmtId="165" xfId="0" applyAlignment="1" applyBorder="1" applyFont="1" applyNumberFormat="1">
      <alignment horizontal="right" vertical="bottom"/>
    </xf>
    <xf borderId="2" fillId="7" fontId="3" numFmtId="165" xfId="0" applyAlignment="1" applyBorder="1" applyFont="1" applyNumberFormat="1">
      <alignment horizontal="right" vertical="bottom"/>
    </xf>
    <xf borderId="2" fillId="3" fontId="4" numFmtId="0" xfId="0" applyAlignment="1" applyBorder="1" applyFont="1">
      <alignment vertical="bottom"/>
    </xf>
    <xf borderId="2" fillId="2" fontId="3" numFmtId="165" xfId="0" applyAlignment="1" applyBorder="1" applyFont="1" applyNumberFormat="1">
      <alignment horizontal="right" vertical="bottom"/>
    </xf>
    <xf borderId="2" fillId="7" fontId="4" numFmtId="165" xfId="0" applyAlignment="1" applyBorder="1" applyFont="1" applyNumberFormat="1">
      <alignment vertical="bottom"/>
    </xf>
    <xf borderId="2" fillId="4" fontId="4" numFmtId="165" xfId="0" applyAlignment="1" applyBorder="1" applyFont="1" applyNumberFormat="1">
      <alignment vertical="bottom"/>
    </xf>
    <xf borderId="2" fillId="4" fontId="8" numFmtId="165" xfId="0" applyAlignment="1" applyBorder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2" fillId="10" fontId="3" numFmtId="0" xfId="0" applyAlignment="1" applyBorder="1" applyFill="1" applyFont="1">
      <alignment vertical="bottom"/>
    </xf>
    <xf borderId="2" fillId="10" fontId="4" numFmtId="0" xfId="0" applyAlignment="1" applyBorder="1" applyFont="1">
      <alignment vertical="bottom"/>
    </xf>
    <xf borderId="2" fillId="10" fontId="3" numFmtId="3" xfId="0" applyAlignment="1" applyBorder="1" applyFont="1" applyNumberFormat="1">
      <alignment horizontal="right" vertical="bottom"/>
    </xf>
    <xf borderId="2" fillId="10" fontId="4" numFmtId="3" xfId="0" applyAlignment="1" applyBorder="1" applyFont="1" applyNumberFormat="1">
      <alignment vertical="bottom"/>
    </xf>
    <xf borderId="2" fillId="11" fontId="3" numFmtId="0" xfId="0" applyAlignment="1" applyBorder="1" applyFill="1" applyFont="1">
      <alignment horizontal="right" vertical="bottom"/>
    </xf>
    <xf borderId="2" fillId="11" fontId="3" numFmtId="3" xfId="0" applyAlignment="1" applyBorder="1" applyFont="1" applyNumberFormat="1">
      <alignment horizontal="right" vertical="bottom"/>
    </xf>
    <xf borderId="2" fillId="12" fontId="3" numFmtId="3" xfId="0" applyAlignment="1" applyBorder="1" applyFill="1" applyFont="1" applyNumberFormat="1">
      <alignment horizontal="right" vertical="bottom"/>
    </xf>
    <xf borderId="2" fillId="10" fontId="3" numFmtId="166" xfId="0" applyAlignment="1" applyBorder="1" applyFont="1" applyNumberFormat="1">
      <alignment horizontal="right" vertical="bottom"/>
    </xf>
    <xf borderId="2" fillId="10" fontId="3" numFmtId="0" xfId="0" applyAlignment="1" applyBorder="1" applyFont="1">
      <alignment horizontal="right" vertical="bottom"/>
    </xf>
    <xf borderId="2" fillId="10" fontId="3" numFmtId="165" xfId="0" applyAlignment="1" applyBorder="1" applyFont="1" applyNumberFormat="1">
      <alignment horizontal="right" vertical="bottom"/>
    </xf>
    <xf borderId="2" fillId="13" fontId="3" numFmtId="165" xfId="0" applyAlignment="1" applyBorder="1" applyFill="1" applyFont="1" applyNumberFormat="1">
      <alignment horizontal="right" vertical="bottom"/>
    </xf>
    <xf borderId="2" fillId="12" fontId="7" numFmtId="3" xfId="0" applyAlignment="1" applyBorder="1" applyFont="1" applyNumberFormat="1">
      <alignment horizontal="right" vertical="bottom"/>
    </xf>
    <xf borderId="2" fillId="10" fontId="7" numFmtId="3" xfId="0" applyAlignment="1" applyBorder="1" applyFont="1" applyNumberFormat="1">
      <alignment horizontal="right" vertical="bottom"/>
    </xf>
    <xf borderId="2" fillId="13" fontId="7" numFmtId="3" xfId="0" applyAlignment="1" applyBorder="1" applyFont="1" applyNumberFormat="1">
      <alignment horizontal="right" vertical="bottom"/>
    </xf>
    <xf borderId="2" fillId="10" fontId="8" numFmtId="3" xfId="0" applyAlignment="1" applyBorder="1" applyFont="1" applyNumberFormat="1">
      <alignment horizontal="right" vertical="bottom"/>
    </xf>
    <xf borderId="1" fillId="10" fontId="3" numFmtId="165" xfId="0" applyAlignment="1" applyBorder="1" applyFont="1" applyNumberFormat="1">
      <alignment horizontal="right" vertical="bottom"/>
    </xf>
    <xf borderId="2" fillId="10" fontId="4" numFmtId="167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167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1" fillId="0" fontId="9" numFmtId="0" xfId="0" applyAlignment="1" applyBorder="1" applyFont="1">
      <alignment horizontal="center" vertical="bottom"/>
    </xf>
    <xf borderId="1" fillId="14" fontId="10" numFmtId="0" xfId="0" applyAlignment="1" applyBorder="1" applyFill="1" applyFont="1">
      <alignment horizontal="center" shrinkToFit="0" vertical="bottom" wrapText="1"/>
    </xf>
    <xf borderId="1" fillId="15" fontId="10" numFmtId="0" xfId="0" applyAlignment="1" applyBorder="1" applyFill="1" applyFont="1">
      <alignment horizontal="center" shrinkToFit="0" vertical="bottom" wrapText="1"/>
    </xf>
    <xf borderId="1" fillId="16" fontId="10" numFmtId="0" xfId="0" applyAlignment="1" applyBorder="1" applyFill="1" applyFont="1">
      <alignment horizontal="center" shrinkToFit="0" vertical="bottom" wrapText="1"/>
    </xf>
    <xf borderId="1" fillId="17" fontId="10" numFmtId="0" xfId="0" applyAlignment="1" applyBorder="1" applyFill="1" applyFont="1">
      <alignment horizontal="center" shrinkToFit="0" vertical="bottom" wrapText="1"/>
    </xf>
    <xf borderId="1" fillId="18" fontId="4" numFmtId="0" xfId="0" applyAlignment="1" applyBorder="1" applyFill="1" applyFont="1">
      <alignment shrinkToFit="0" vertical="bottom" wrapText="1"/>
    </xf>
    <xf borderId="1" fillId="0" fontId="11" numFmtId="168" xfId="0" applyAlignment="1" applyBorder="1" applyFont="1" applyNumberFormat="1">
      <alignment horizontal="center" vertical="bottom"/>
    </xf>
    <xf borderId="1" fillId="19" fontId="11" numFmtId="168" xfId="0" applyAlignment="1" applyBorder="1" applyFill="1" applyFont="1" applyNumberFormat="1">
      <alignment horizontal="center" vertical="bottom"/>
    </xf>
    <xf borderId="1" fillId="0" fontId="3" numFmtId="1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1" fillId="12" fontId="11" numFmtId="168" xfId="0" applyAlignment="1" applyBorder="1" applyFont="1" applyNumberFormat="1">
      <alignment horizontal="center" vertical="bottom"/>
    </xf>
    <xf borderId="1" fillId="20" fontId="3" numFmtId="1" xfId="0" applyAlignment="1" applyBorder="1" applyFill="1" applyFont="1" applyNumberFormat="1">
      <alignment horizontal="right" vertical="bottom"/>
    </xf>
    <xf borderId="1" fillId="0" fontId="5" numFmtId="3" xfId="0" applyAlignment="1" applyBorder="1" applyFont="1" applyNumberFormat="1">
      <alignment horizontal="right" vertical="bottom"/>
    </xf>
    <xf borderId="1" fillId="21" fontId="3" numFmtId="3" xfId="0" applyAlignment="1" applyBorder="1" applyFill="1" applyFont="1" applyNumberFormat="1">
      <alignment horizontal="right" vertical="bottom"/>
    </xf>
    <xf borderId="1" fillId="12" fontId="12" numFmtId="168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3" xfId="0" applyAlignment="1" applyFont="1" applyNumberFormat="1">
      <alignment horizontal="right" vertical="bottom"/>
    </xf>
    <xf borderId="0" fillId="0" fontId="4" numFmtId="169" xfId="0" applyAlignment="1" applyFont="1" applyNumberFormat="1">
      <alignment vertical="bottom"/>
    </xf>
    <xf borderId="0" fillId="8" fontId="4" numFmtId="169" xfId="0" applyAlignment="1" applyFont="1" applyNumberFormat="1">
      <alignment vertical="bottom"/>
    </xf>
    <xf borderId="0" fillId="8" fontId="4" numFmtId="169" xfId="0" applyAlignment="1" applyFont="1" applyNumberForma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142" sheet="Respuestas de formulario 1"/>
  </cacheSource>
  <cacheFields>
    <cacheField name="Marca temporal" numFmtId="164">
      <sharedItems containsDate="1" containsString="0" containsBlank="1">
        <d v="2026-05-22T13:12:55Z"/>
        <d v="2026-05-22T13:14:53Z"/>
        <d v="2026-05-22T13:16:16Z"/>
        <d v="2026-05-22T13:17:37Z"/>
        <d v="2026-05-22T14:42:54Z"/>
        <d v="2026-05-22T15:45:13Z"/>
        <d v="2026-05-22T15:46:52Z"/>
        <d v="2026-05-23T09:40:11Z"/>
        <d v="2026-05-23T12:19:30Z"/>
        <d v="2026-05-23T12:22:38Z"/>
        <d v="2026-05-23T12:24:32Z"/>
        <d v="2026-05-23T12:27:33Z"/>
        <d v="2026-05-23T12:30:18Z"/>
        <d v="2026-05-23T12:31:32Z"/>
        <d v="2026-05-23T12:36:52Z"/>
        <d v="2026-05-23T12:40:37Z"/>
        <d v="2026-05-23T12:42:28Z"/>
        <d v="2026-05-23T12:47:13Z"/>
        <d v="2026-05-23T12:47:42Z"/>
        <d v="2026-05-23T13:04:20Z"/>
        <d v="2026-05-23T14:03:41Z"/>
        <d v="2026-05-23T14:07:44Z"/>
        <d v="2026-05-23T14:14:34Z"/>
        <d v="2026-05-23T14:21:40Z"/>
        <d v="2026-05-23T14:37:13Z"/>
        <d v="2026-05-23T14:41:03Z"/>
        <d v="2026-05-23T15:09:19Z"/>
        <d v="2026-05-23T15:12:11Z"/>
        <d v="2026-05-23T15:14:23Z"/>
        <d v="2026-05-23T15:16:39Z"/>
        <d v="2026-05-23T15:19:09Z"/>
        <d v="2026-05-23T15:36:00Z"/>
        <d v="2026-05-23T15:37:57Z"/>
        <d v="2026-05-23T15:43:20Z"/>
        <d v="2026-05-23T15:45:04Z"/>
        <d v="2026-05-23T15:47:03Z"/>
        <d v="2026-05-25T11:10:27Z"/>
        <d v="2026-05-25T12:17:27Z"/>
        <d v="2026-05-25T12:18:40Z"/>
        <d v="2026-05-25T12:20:45Z"/>
        <d v="2026-05-25T12:23:47Z"/>
        <m/>
      </sharedItems>
    </cacheField>
    <cacheField name="Código del encuestador " numFmtId="0">
      <sharedItems containsString="0" containsBlank="1" containsNumber="1" containsInteger="1">
        <n v="148.0"/>
        <n v="602.0"/>
        <n v="265.0"/>
        <n v="182.0"/>
        <m/>
      </sharedItems>
    </cacheField>
    <cacheField name="Nombre del local" numFmtId="0">
      <sharedItems containsBlank="1">
        <s v="FarmaCon"/>
        <s v="Cell Shopp"/>
        <s v="Columbia"/>
        <s v="Farma Shop Dior"/>
        <s v="Triunfo"/>
        <s v="ICLINIC"/>
        <m/>
      </sharedItems>
    </cacheField>
    <cacheField name="Nacionalidad (Entrevistado/a" numFmtId="0">
      <sharedItems containsBlank="1">
        <s v="Brasilera"/>
        <s v="Argentina"/>
        <s v="Paraguaya"/>
        <m/>
      </sharedItems>
    </cacheField>
    <cacheField name="Edad" numFmtId="0">
      <sharedItems containsString="0" containsBlank="1" containsNumber="1" containsInteger="1">
        <n v="37.0"/>
        <n v="40.0"/>
        <n v="39.0"/>
        <n v="38.0"/>
        <n v="33.0"/>
        <n v="44.0"/>
        <n v="26.0"/>
        <n v="35.0"/>
        <n v="48.0"/>
        <n v="41.0"/>
        <n v="55.0"/>
        <n v="60.0"/>
        <n v="53.0"/>
        <n v="36.0"/>
        <n v="28.0"/>
        <n v="47.0"/>
        <n v="27.0"/>
        <n v="24.0"/>
        <n v="50.0"/>
        <n v="46.0"/>
        <n v="43.0"/>
        <m/>
        <n v="32.0"/>
      </sharedItems>
    </cacheField>
    <cacheField name="Sexo" numFmtId="0">
      <sharedItems containsBlank="1">
        <s v="Masculino"/>
        <s v="Femenino"/>
        <m/>
      </sharedItems>
    </cacheField>
    <cacheField name="&#10;A1. En este local¿Compró usted hoy algún medicamento que contenga tirzepatida?: " numFmtId="0">
      <sharedItems containsBlank="1">
        <s v="Sí"/>
        <m/>
      </sharedItems>
    </cacheField>
    <cacheField name="A1.1. ¿De qué marca? " numFmtId="0">
      <sharedItems containsBlank="1">
        <s v="Tirzedral"/>
        <s v="T.G."/>
        <s v="Lipoless"/>
        <s v="Tirzec"/>
        <s v="Gluconex"/>
        <m/>
      </sharedItems>
    </cacheField>
    <cacheField name="A1.2. Especificar la marca (Si marcó la opc. Otro)" numFmtId="0">
      <sharedItems containsString="0" containsBlank="1">
        <m/>
      </sharedItems>
    </cacheField>
    <cacheField name="A2. Este producto fue comprado para:" numFmtId="0">
      <sharedItems containsBlank="1">
        <s v="Para un familiar"/>
        <s v="Uso propio"/>
        <s v="Para otra persona (no familiar)"/>
        <s v="Uso propio, Para un familiar"/>
        <m/>
      </sharedItems>
    </cacheField>
    <cacheField name="&#10;A3. ¿Con qué frecuencia compra este producto aproximadamente?" numFmtId="0">
      <sharedItems containsBlank="1">
        <s v="Ocasionalmente"/>
        <s v="Cada mes"/>
        <s v="Cada 2 - 3 meses"/>
        <s v="Primera compra"/>
        <s v="Cada semana"/>
        <m/>
      </sharedItems>
    </cacheField>
    <cacheField name="&#10;B1. ¿Cuál es el principal motivo por el que utiliza tirzepatida? (Respuesta espontánea) " numFmtId="0">
      <sharedItems containsBlank="1">
        <s v="Recomendación médica general"/>
        <s v="Pérdida de peso"/>
        <s v="Control de diabetes tipo 2"/>
        <m/>
      </sharedItems>
    </cacheField>
    <cacheField name="B.1.1. Especificar  (Si marcó la opc. Otro)" numFmtId="0">
      <sharedItems containsString="0" containsBlank="1">
        <m/>
      </sharedItems>
    </cacheField>
    <cacheField name="&#10;B2. ¿Cuál fue el factor más importante en su decisión de compra?" numFmtId="0">
      <sharedItems containsBlank="1">
        <s v="Recomendación del médico"/>
        <s v="Resultados para bajar de peso"/>
        <s v="Opiniones de otras personas"/>
        <m/>
      </sharedItems>
    </cacheField>
    <cacheField name="B3. ¿Qué información le gustaría recibir sobre este medicamento? " numFmtId="0">
      <sharedItems containsBlank="1">
        <s v="Seguridad / efectos secundarios"/>
        <s v="Resultados de pérdida de peso, Comparación con otros tratamientos"/>
        <s v="Promociones / precio, Recomendaciones de médicos"/>
        <s v="Promociones / precio"/>
        <s v="Resultados de pérdida de peso, Seguridad / efectos secundarios, Promociones / precio"/>
        <s v="Resultados de pérdida de peso, Seguridad / efectos secundarios"/>
        <s v="Resultados de pérdida de peso"/>
        <s v="Resultados de pérdida de peso, Seguridad / efectos secundarios, Comparación con otros tratamientos, Promociones / precio, Recomendaciones de médicos"/>
        <s v="Recomendaciones de médicos"/>
        <s v="Resultados de pérdida de peso, Seguridad / efectos secundarios, Comparación con otros tratamientos"/>
        <s v="Resultados de pérdida de peso, Seguridad / efectos secundarios, Recomendaciones de médicos"/>
        <s v="Resultados de pérdida de peso, Promociones / precio"/>
        <s v="Resultados de pérdida de peso, Comparación con otros tratamientos, Promociones / precio"/>
        <s v="Seguridad / efectos secundarios, Promociones / precio"/>
        <m/>
      </sharedItems>
    </cacheField>
    <cacheField name="C1. ¿Quién le recomendó/ indicó usar tirzepatida? " numFmtId="0">
      <sharedItems containsBlank="1">
        <s v="Médico especialista (endocrinólogo / diabetólogo)"/>
        <s v="Médico clínico"/>
        <s v="Decisión propia"/>
        <s v="Redes sociales / internet"/>
        <s v="Amigo/familiar"/>
        <m/>
      </sharedItems>
    </cacheField>
    <cacheField name="C.1.1. Especificar  (Si marcó la opc. Otro)" numFmtId="0">
      <sharedItems containsString="0" containsBlank="1">
        <m/>
      </sharedItems>
    </cacheField>
    <cacheField name="C2.  ¿Cuál fue el factor más importante en su decisión de compra?" numFmtId="0">
      <sharedItems containsBlank="1">
        <s v="Recomendación del médico"/>
        <s v="Resultados para bajar de peso"/>
        <m/>
      </sharedItems>
    </cacheField>
    <cacheField name="C.2.1. Especificar  (Si marcó la opc. Otro)" numFmtId="0">
      <sharedItems containsString="0" containsBlank="1">
        <m/>
      </sharedItems>
    </cacheField>
    <cacheField name="D.1. ¿Cuánto pagó por cada caja? " numFmtId="0">
      <sharedItems containsString="0" containsBlank="1" containsNumber="1" containsInteger="1">
        <n v="85.0"/>
        <n v="425.0"/>
        <n v="420.0"/>
        <n v="83.0"/>
        <n v="77.0"/>
        <n v="81.0"/>
        <n v="600000.0"/>
        <n v="370.0"/>
        <n v="900000.0"/>
        <n v="87.0"/>
        <n v="1110000.0"/>
        <n v="770000.0"/>
        <n v="1150000.0"/>
        <n v="800000.0"/>
        <n v="310.0"/>
        <n v="89.0"/>
        <n v="60.0"/>
        <n v="70.0"/>
        <n v="120.0"/>
        <n v="700000.0"/>
        <n v="75.0"/>
        <m/>
      </sharedItems>
    </cacheField>
    <cacheField name="D.1.1. Unidad Monetaria" numFmtId="0">
      <sharedItems containsBlank="1">
        <s v="Dolar Americano"/>
        <s v="Reales"/>
        <s v="Guaraníes"/>
        <m/>
      </sharedItems>
    </cacheField>
    <cacheField name="D2. ¿Considera que el precio de tirzepatida es:?" numFmtId="0">
      <sharedItems containsBlank="1">
        <s v="Adecuado"/>
        <s v="Barato"/>
        <s v="Caro"/>
        <m/>
      </sharedItems>
    </cacheField>
    <cacheField name="A4. ¿En que presentación (en mg) compró hoy?" numFmtId="0">
      <sharedItems containsBlank="1">
        <s v="15 mg"/>
        <s v="5 mg"/>
        <s v="2,5 mg"/>
        <s v="12,5 mg"/>
        <s v="7,5 mg"/>
        <s v="10 mg"/>
        <m/>
      </sharedItems>
    </cacheField>
    <cacheField name="A.4.1. Especificar  (Si marcó la opc. Otra)" numFmtId="0">
      <sharedItems containsString="0" containsBlank="1">
        <m/>
      </sharedItems>
    </cacheField>
    <cacheField name="A.5. ¿Esta es la presentación que elije siempre que compra?" numFmtId="0">
      <sharedItems containsBlank="1">
        <s v="Sí"/>
        <s v="No"/>
        <m/>
      </sharedItems>
    </cacheField>
    <cacheField name="Columna 26" numFmtId="0">
      <sharedItems containsString="0" containsBlank="1">
        <m/>
      </sharedItems>
    </cacheField>
    <cacheField name="Columna 27" numFmtId="0">
      <sharedItems containsString="0" containsBlank="1">
        <m/>
      </sharedItems>
    </cacheField>
    <cacheField name="Columna 28" numFmtId="0">
      <sharedItems containsString="0" containsBlank="1">
        <m/>
      </sharedItems>
    </cacheField>
    <cacheField name="Columna 29" numFmtId="0">
      <sharedItems containsString="0" containsBlank="1">
        <m/>
      </sharedItems>
    </cacheField>
    <cacheField name="Columna 30" numFmtId="0">
      <sharedItems containsString="0" containsBlank="1">
        <m/>
      </sharedItems>
    </cacheField>
    <cacheField name="Columna 3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itoreo_M(B)_T2.0" cacheId="0" dataCaption="" compact="0" compactData="0">
  <location ref="A13:H20" firstHeaderRow="0" firstDataRow="1" firstDataCol="1" rowPageCount="1" colPageCount="1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ódigo del encuestador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bre del local" axis="axisCol" compact="0" outline="0" multipleItemSelectionAllowed="1" showAll="0" sortType="ascending">
      <items>
        <item x="6"/>
        <item x="1"/>
        <item x="2"/>
        <item x="3"/>
        <item x="0"/>
        <item x="5"/>
        <item x="4"/>
        <item t="default"/>
      </items>
    </pivotField>
    <pivotField name="Nacionalidad (Entrevistado/a" compact="0" outline="0" multipleItemSelectionAllowed="1" showAll="0">
      <items>
        <item x="0"/>
        <item x="1"/>
        <item x="2"/>
        <item x="3"/>
        <item t="default"/>
      </items>
    </pivotField>
    <pivotField name="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&#10;A1. En este local¿Compró usted hoy algún medicamento que contenga tirzepatida?: " axis="axisPage" compact="0" outline="0" multipleItemSelectionAllowed="1" showAll="0">
      <items>
        <item x="0"/>
        <item h="1" x="1"/>
        <item t="default"/>
      </items>
    </pivotField>
    <pivotField name="A1.1. ¿De qué marca? " axis="axisRow" dataField="1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A1.2. Especificar la marca (Si marcó la opc. Otro)" compact="0" outline="0" multipleItemSelectionAllowed="1" showAll="0">
      <items>
        <item x="0"/>
        <item t="default"/>
      </items>
    </pivotField>
    <pivotField name="A2. Este producto fue comprado para:" compact="0" outline="0" multipleItemSelectionAllowed="1" showAll="0">
      <items>
        <item x="0"/>
        <item x="1"/>
        <item x="2"/>
        <item x="3"/>
        <item x="4"/>
        <item t="default"/>
      </items>
    </pivotField>
    <pivotField name="&#10;A3. ¿Con qué frecuencia compra este producto aproximadam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&#10;B1. ¿Cuál es el principal motivo por el que utiliza tirzepatida? (Respuesta espontánea) " compact="0" outline="0" multipleItemSelectionAllowed="1" showAll="0">
      <items>
        <item x="0"/>
        <item x="1"/>
        <item x="2"/>
        <item x="3"/>
        <item t="default"/>
      </items>
    </pivotField>
    <pivotField name="B.1.1. Especificar  (Si marcó la opc. Otro)" compact="0" outline="0" multipleItemSelectionAllowed="1" showAll="0">
      <items>
        <item x="0"/>
        <item t="default"/>
      </items>
    </pivotField>
    <pivotField name="&#10;B2. ¿Cuál fue el factor más importante en su decisión de compra?" compact="0" outline="0" multipleItemSelectionAllowed="1" showAll="0">
      <items>
        <item x="0"/>
        <item x="1"/>
        <item x="2"/>
        <item x="3"/>
        <item t="default"/>
      </items>
    </pivotField>
    <pivotField name="B3. ¿Qué información le gustaría recibir sobre este medicamento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1. ¿Quién le recomendó/ indicó usar tirzepatida?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.1.1. Especificar  (Si marcó la opc. Otro)" compact="0" outline="0" multipleItemSelectionAllowed="1" showAll="0">
      <items>
        <item x="0"/>
        <item t="default"/>
      </items>
    </pivotField>
    <pivotField name="C2.  ¿Cuál fue el factor más importante en su decisión de compra?" compact="0" outline="0" multipleItemSelectionAllowed="1" showAll="0">
      <items>
        <item x="0"/>
        <item x="1"/>
        <item x="2"/>
        <item t="default"/>
      </items>
    </pivotField>
    <pivotField name="C.2.1. Especificar  (Si marcó la opc. Otro)" compact="0" outline="0" multipleItemSelectionAllowed="1" showAll="0">
      <items>
        <item x="0"/>
        <item t="default"/>
      </items>
    </pivotField>
    <pivotField name="D.1. ¿Cuánto pagó por cada caj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.1.1. Unidad Monetaria" compact="0" outline="0" multipleItemSelectionAllowed="1" showAll="0">
      <items>
        <item x="0"/>
        <item x="1"/>
        <item x="2"/>
        <item x="3"/>
        <item t="default"/>
      </items>
    </pivotField>
    <pivotField name="D2. ¿Considera que el precio de tirzepatida es:?" compact="0" outline="0" multipleItemSelectionAllowed="1" showAll="0">
      <items>
        <item x="0"/>
        <item x="1"/>
        <item x="2"/>
        <item x="3"/>
        <item t="default"/>
      </items>
    </pivotField>
    <pivotField name="A4. ¿En que presentación (en mg) compró hoy?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4.1. Especificar  (Si marcó la opc. Otra)" compact="0" outline="0" multipleItemSelectionAllowed="1" showAll="0">
      <items>
        <item x="0"/>
        <item t="default"/>
      </items>
    </pivotField>
    <pivotField name="A.5. ¿Esta es la presentación que elije siempre que compra?" compact="0" outline="0" multipleItemSelectionAllowed="1" showAll="0">
      <items>
        <item x="0"/>
        <item x="1"/>
        <item x="2"/>
        <item t="default"/>
      </items>
    </pivotField>
    <pivotField name="Columna 26" compact="0" outline="0" multipleItemSelectionAllowed="1" showAll="0">
      <items>
        <item x="0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</pivotFields>
  <rowFields>
    <field x="7"/>
  </rowFields>
  <colFields>
    <field x="2"/>
  </colFields>
  <pageFields>
    <pageField fld="6"/>
  </pageFields>
  <dataFields>
    <dataField name="COUNTA of A1.1. ¿De qué marca? " fld="7" subtotal="count" baseField="0"/>
  </dataFields>
</pivotTableDefinition>
</file>

<file path=xl/pivotTables/pivotTable2.xml><?xml version="1.0" encoding="utf-8"?>
<pivotTableDefinition xmlns="http://schemas.openxmlformats.org/spreadsheetml/2006/main" name="Monitoreo_M(B)_T2.0 2" cacheId="0" dataCaption="" compact="0" compactData="0">
  <location ref="A22:G29" firstHeaderRow="0" firstDataRow="1" firstDataCol="1" rowPageCount="1" colPageCount="1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ódigo del encuestador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bre del loc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acionalidad (Entrevistado/a" compact="0" outline="0" multipleItemSelectionAllowed="1" showAll="0">
      <items>
        <item x="0"/>
        <item x="1"/>
        <item x="2"/>
        <item x="3"/>
        <item t="default"/>
      </items>
    </pivotField>
    <pivotField name="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&#10;A1. En este local¿Compró usted hoy algún medicamento que contenga tirzepatida?: " axis="axisPage" compact="0" outline="0" multipleItemSelectionAllowed="1" showAll="0">
      <items>
        <item x="0"/>
        <item h="1" x="1"/>
        <item t="default"/>
      </items>
    </pivotField>
    <pivotField name="A1.1. ¿De qué marca? 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A1.2. Especificar la marca (Si marcó la opc. Otro)" compact="0" outline="0" multipleItemSelectionAllowed="1" showAll="0">
      <items>
        <item x="0"/>
        <item t="default"/>
      </items>
    </pivotField>
    <pivotField name="A2. Este producto fue comprado para:" compact="0" outline="0" multipleItemSelectionAllowed="1" showAll="0">
      <items>
        <item x="0"/>
        <item x="1"/>
        <item x="2"/>
        <item x="3"/>
        <item x="4"/>
        <item t="default"/>
      </items>
    </pivotField>
    <pivotField name="&#10;A3. ¿Con qué frecuencia compra este producto aproximadamente?" axis="axisCol" dataField="1" compact="0" outline="0" multipleItemSelectionAllowed="1" showAll="0" sortType="ascending">
      <items>
        <item x="5"/>
        <item x="2"/>
        <item x="1"/>
        <item x="4"/>
        <item x="0"/>
        <item x="3"/>
        <item t="default"/>
      </items>
    </pivotField>
    <pivotField name="&#10;B1. ¿Cuál es el principal motivo por el que utiliza tirzepatida? (Respuesta espontánea) " compact="0" outline="0" multipleItemSelectionAllowed="1" showAll="0">
      <items>
        <item x="0"/>
        <item x="1"/>
        <item x="2"/>
        <item x="3"/>
        <item t="default"/>
      </items>
    </pivotField>
    <pivotField name="B.1.1. Especificar  (Si marcó la opc. Otro)" compact="0" outline="0" multipleItemSelectionAllowed="1" showAll="0">
      <items>
        <item x="0"/>
        <item t="default"/>
      </items>
    </pivotField>
    <pivotField name="&#10;B2. ¿Cuál fue el factor más importante en su decisión de compra?" compact="0" outline="0" multipleItemSelectionAllowed="1" showAll="0">
      <items>
        <item x="0"/>
        <item x="1"/>
        <item x="2"/>
        <item x="3"/>
        <item t="default"/>
      </items>
    </pivotField>
    <pivotField name="B3. ¿Qué información le gustaría recibir sobre este medicamento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1. ¿Quién le recomendó/ indicó usar tirzepatida?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.1.1. Especificar  (Si marcó la opc. Otro)" compact="0" outline="0" multipleItemSelectionAllowed="1" showAll="0">
      <items>
        <item x="0"/>
        <item t="default"/>
      </items>
    </pivotField>
    <pivotField name="C2.  ¿Cuál fue el factor más importante en su decisión de compra?" compact="0" outline="0" multipleItemSelectionAllowed="1" showAll="0">
      <items>
        <item x="0"/>
        <item x="1"/>
        <item x="2"/>
        <item t="default"/>
      </items>
    </pivotField>
    <pivotField name="C.2.1. Especificar  (Si marcó la opc. Otro)" compact="0" outline="0" multipleItemSelectionAllowed="1" showAll="0">
      <items>
        <item x="0"/>
        <item t="default"/>
      </items>
    </pivotField>
    <pivotField name="D.1. ¿Cuánto pagó por cada caj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.1.1. Unidad Monetaria" compact="0" outline="0" multipleItemSelectionAllowed="1" showAll="0">
      <items>
        <item x="0"/>
        <item x="1"/>
        <item x="2"/>
        <item x="3"/>
        <item t="default"/>
      </items>
    </pivotField>
    <pivotField name="D2. ¿Considera que el precio de tirzepatida es:?" compact="0" outline="0" multipleItemSelectionAllowed="1" showAll="0">
      <items>
        <item x="0"/>
        <item x="1"/>
        <item x="2"/>
        <item x="3"/>
        <item t="default"/>
      </items>
    </pivotField>
    <pivotField name="A4. ¿En que presentación (en mg) compró hoy?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4.1. Especificar  (Si marcó la opc. Otra)" compact="0" outline="0" multipleItemSelectionAllowed="1" showAll="0">
      <items>
        <item x="0"/>
        <item t="default"/>
      </items>
    </pivotField>
    <pivotField name="A.5. ¿Esta es la presentación que elije siempre que compra?" compact="0" outline="0" multipleItemSelectionAllowed="1" showAll="0">
      <items>
        <item x="0"/>
        <item x="1"/>
        <item x="2"/>
        <item t="default"/>
      </items>
    </pivotField>
    <pivotField name="Columna 26" compact="0" outline="0" multipleItemSelectionAllowed="1" showAll="0">
      <items>
        <item x="0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</pivotFields>
  <rowFields>
    <field x="7"/>
  </rowFields>
  <colFields>
    <field x="10"/>
  </colFields>
  <pageFields>
    <pageField fld="6"/>
  </pageFields>
  <dataFields>
    <dataField name="COUNTA of &#10;A3. ¿Con qué frecuencia compra este producto aproximadamente?" fld="10" subtotal="count" baseField="0"/>
  </dataFields>
</pivotTableDefinition>
</file>

<file path=xl/pivotTables/pivotTable3.xml><?xml version="1.0" encoding="utf-8"?>
<pivotTableDefinition xmlns="http://schemas.openxmlformats.org/spreadsheetml/2006/main" name="Monitoreo_M(B)_T2.0 3" cacheId="0" dataCaption="" compact="0" compactData="0">
  <location ref="A34:G42" firstHeaderRow="0" firstDataRow="1" firstDataCol="1" rowPageCount="1" colPageCount="1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ódigo del encuestador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bre del local" axis="axisRow" compact="0" outline="0" multipleItemSelectionAllowed="1" showAll="0" sortType="ascending">
      <items>
        <item x="6"/>
        <item x="1"/>
        <item x="2"/>
        <item x="3"/>
        <item x="0"/>
        <item x="5"/>
        <item x="4"/>
        <item t="default"/>
      </items>
    </pivotField>
    <pivotField name="Nacionalidad (Entrevistado/a" compact="0" outline="0" multipleItemSelectionAllowed="1" showAll="0">
      <items>
        <item x="0"/>
        <item x="1"/>
        <item x="2"/>
        <item x="3"/>
        <item t="default"/>
      </items>
    </pivotField>
    <pivotField name="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&#10;A1. En este local¿Compró usted hoy algún medicamento que contenga tirzepatida?: " axis="axisPage" compact="0" outline="0" multipleItemSelectionAllowed="1" showAll="0">
      <items>
        <item x="0"/>
        <item h="1" x="1"/>
        <item t="default"/>
      </items>
    </pivotField>
    <pivotField name="A1.1. ¿De qué marca?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1.2. Especificar la marca (Si marcó la opc. Otro)" compact="0" outline="0" multipleItemSelectionAllowed="1" showAll="0">
      <items>
        <item x="0"/>
        <item t="default"/>
      </items>
    </pivotField>
    <pivotField name="A2. Este producto fue comprado para:" compact="0" outline="0" multipleItemSelectionAllowed="1" showAll="0">
      <items>
        <item x="0"/>
        <item x="1"/>
        <item x="2"/>
        <item x="3"/>
        <item x="4"/>
        <item t="default"/>
      </items>
    </pivotField>
    <pivotField name="&#10;A3. ¿Con qué frecuencia compra este producto aproximadamente?" axis="axisCol" dataField="1" compact="0" outline="0" multipleItemSelectionAllowed="1" showAll="0" sortType="ascending">
      <items>
        <item x="5"/>
        <item x="2"/>
        <item x="1"/>
        <item x="4"/>
        <item x="0"/>
        <item x="3"/>
        <item t="default"/>
      </items>
    </pivotField>
    <pivotField name="&#10;B1. ¿Cuál es el principal motivo por el que utiliza tirzepatida? (Respuesta espontánea) " compact="0" outline="0" multipleItemSelectionAllowed="1" showAll="0">
      <items>
        <item x="0"/>
        <item x="1"/>
        <item x="2"/>
        <item x="3"/>
        <item t="default"/>
      </items>
    </pivotField>
    <pivotField name="B.1.1. Especificar  (Si marcó la opc. Otro)" compact="0" outline="0" multipleItemSelectionAllowed="1" showAll="0">
      <items>
        <item x="0"/>
        <item t="default"/>
      </items>
    </pivotField>
    <pivotField name="&#10;B2. ¿Cuál fue el factor más importante en su decisión de compra?" compact="0" outline="0" multipleItemSelectionAllowed="1" showAll="0">
      <items>
        <item x="0"/>
        <item x="1"/>
        <item x="2"/>
        <item x="3"/>
        <item t="default"/>
      </items>
    </pivotField>
    <pivotField name="B3. ¿Qué información le gustaría recibir sobre este medicamento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1. ¿Quién le recomendó/ indicó usar tirzepatida?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.1.1. Especificar  (Si marcó la opc. Otro)" compact="0" outline="0" multipleItemSelectionAllowed="1" showAll="0">
      <items>
        <item x="0"/>
        <item t="default"/>
      </items>
    </pivotField>
    <pivotField name="C2.  ¿Cuál fue el factor más importante en su decisión de compra?" compact="0" outline="0" multipleItemSelectionAllowed="1" showAll="0">
      <items>
        <item x="0"/>
        <item x="1"/>
        <item x="2"/>
        <item t="default"/>
      </items>
    </pivotField>
    <pivotField name="C.2.1. Especificar  (Si marcó la opc. Otro)" compact="0" outline="0" multipleItemSelectionAllowed="1" showAll="0">
      <items>
        <item x="0"/>
        <item t="default"/>
      </items>
    </pivotField>
    <pivotField name="D.1. ¿Cuánto pagó por cada caj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.1.1. Unidad Monetaria" compact="0" outline="0" multipleItemSelectionAllowed="1" showAll="0">
      <items>
        <item x="0"/>
        <item x="1"/>
        <item x="2"/>
        <item x="3"/>
        <item t="default"/>
      </items>
    </pivotField>
    <pivotField name="D2. ¿Considera que el precio de tirzepatida es:?" compact="0" outline="0" multipleItemSelectionAllowed="1" showAll="0">
      <items>
        <item x="0"/>
        <item x="1"/>
        <item x="2"/>
        <item x="3"/>
        <item t="default"/>
      </items>
    </pivotField>
    <pivotField name="A4. ¿En que presentación (en mg) compró hoy?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4.1. Especificar  (Si marcó la opc. Otra)" compact="0" outline="0" multipleItemSelectionAllowed="1" showAll="0">
      <items>
        <item x="0"/>
        <item t="default"/>
      </items>
    </pivotField>
    <pivotField name="A.5. ¿Esta es la presentación que elije siempre que compra?" compact="0" outline="0" multipleItemSelectionAllowed="1" showAll="0">
      <items>
        <item x="0"/>
        <item x="1"/>
        <item x="2"/>
        <item t="default"/>
      </items>
    </pivotField>
    <pivotField name="Columna 26" compact="0" outline="0" multipleItemSelectionAllowed="1" showAll="0">
      <items>
        <item x="0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</pivotFields>
  <rowFields>
    <field x="2"/>
  </rowFields>
  <colFields>
    <field x="10"/>
  </colFields>
  <pageFields>
    <pageField fld="6"/>
  </pageFields>
  <dataFields>
    <dataField name="COUNTA of &#10;A3. ¿Con qué frecuencia compra este producto aproximadamente?" fld="10" subtotal="count" baseField="0"/>
  </dataFields>
</pivotTableDefinition>
</file>

<file path=xl/pivotTables/pivotTable4.xml><?xml version="1.0" encoding="utf-8"?>
<pivotTableDefinition xmlns="http://schemas.openxmlformats.org/spreadsheetml/2006/main" name="Monitoreo_M(B)_T2.0 4" cacheId="0" dataCaption="" compact="0" compactData="0">
  <location ref="A68:H75" firstHeaderRow="0" firstDataRow="1" firstDataCol="1" rowPageCount="1" colPageCount="1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ódigo del encuestador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bre del loc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acionalidad (Entrevistado/a" compact="0" outline="0" multipleItemSelectionAllowed="1" showAll="0">
      <items>
        <item x="0"/>
        <item x="1"/>
        <item x="2"/>
        <item x="3"/>
        <item t="default"/>
      </items>
    </pivotField>
    <pivotField name="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&#10;A1. En este local¿Compró usted hoy algún medicamento que contenga tirzepatida?: " axis="axisPage" compact="0" outline="0" multipleItemSelectionAllowed="1" showAll="0">
      <items>
        <item x="0"/>
        <item h="1" x="1"/>
        <item t="default"/>
      </items>
    </pivotField>
    <pivotField name="A1.1. ¿De qué marca? 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A1.2. Especificar la marca (Si marcó la opc. Otro)" compact="0" outline="0" multipleItemSelectionAllowed="1" showAll="0">
      <items>
        <item x="0"/>
        <item t="default"/>
      </items>
    </pivotField>
    <pivotField name="A2. Este producto fue comprado para:" compact="0" outline="0" multipleItemSelectionAllowed="1" showAll="0">
      <items>
        <item x="0"/>
        <item x="1"/>
        <item x="2"/>
        <item x="3"/>
        <item x="4"/>
        <item t="default"/>
      </items>
    </pivotField>
    <pivotField name="&#10;A3. ¿Con qué frecuencia compra este producto aproximadam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&#10;B1. ¿Cuál es el principal motivo por el que utiliza tirzepatida? (Respuesta espontánea) " compact="0" outline="0" multipleItemSelectionAllowed="1" showAll="0">
      <items>
        <item x="0"/>
        <item x="1"/>
        <item x="2"/>
        <item x="3"/>
        <item t="default"/>
      </items>
    </pivotField>
    <pivotField name="B.1.1. Especificar  (Si marcó la opc. Otro)" compact="0" outline="0" multipleItemSelectionAllowed="1" showAll="0">
      <items>
        <item x="0"/>
        <item t="default"/>
      </items>
    </pivotField>
    <pivotField name="&#10;B2. ¿Cuál fue el factor más importante en su decisión de compra?" compact="0" outline="0" multipleItemSelectionAllowed="1" showAll="0">
      <items>
        <item x="0"/>
        <item x="1"/>
        <item x="2"/>
        <item x="3"/>
        <item t="default"/>
      </items>
    </pivotField>
    <pivotField name="B3. ¿Qué información le gustaría recibir sobre este medicamento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1. ¿Quién le recomendó/ indicó usar tirzepatida?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.1.1. Especificar  (Si marcó la opc. Otro)" compact="0" outline="0" multipleItemSelectionAllowed="1" showAll="0">
      <items>
        <item x="0"/>
        <item t="default"/>
      </items>
    </pivotField>
    <pivotField name="C2.  ¿Cuál fue el factor más importante en su decisión de compra?" compact="0" outline="0" multipleItemSelectionAllowed="1" showAll="0">
      <items>
        <item x="0"/>
        <item x="1"/>
        <item x="2"/>
        <item t="default"/>
      </items>
    </pivotField>
    <pivotField name="C.2.1. Especificar  (Si marcó la opc. Otro)" compact="0" outline="0" multipleItemSelectionAllowed="1" showAll="0">
      <items>
        <item x="0"/>
        <item t="default"/>
      </items>
    </pivotField>
    <pivotField name="D.1. ¿Cuánto pagó por cada caj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.1.1. Unidad Monetaria" compact="0" outline="0" multipleItemSelectionAllowed="1" showAll="0">
      <items>
        <item x="0"/>
        <item x="1"/>
        <item x="2"/>
        <item x="3"/>
        <item t="default"/>
      </items>
    </pivotField>
    <pivotField name="D2. ¿Considera que el precio de tirzepatida es:?" compact="0" outline="0" multipleItemSelectionAllowed="1" showAll="0">
      <items>
        <item x="0"/>
        <item x="1"/>
        <item x="2"/>
        <item x="3"/>
        <item t="default"/>
      </items>
    </pivotField>
    <pivotField name="A4. ¿En que presentación (en mg) compró hoy?" axis="axisCol" dataField="1" compact="0" outline="0" multipleItemSelectionAllowed="1" showAll="0" sortType="ascending">
      <items>
        <item x="6"/>
        <item x="5"/>
        <item x="3"/>
        <item x="0"/>
        <item x="2"/>
        <item x="1"/>
        <item x="4"/>
        <item t="default"/>
      </items>
    </pivotField>
    <pivotField name="A.4.1. Especificar  (Si marcó la opc. Otra)" compact="0" outline="0" multipleItemSelectionAllowed="1" showAll="0">
      <items>
        <item x="0"/>
        <item t="default"/>
      </items>
    </pivotField>
    <pivotField name="A.5. ¿Esta es la presentación que elije siempre que compra?" compact="0" outline="0" multipleItemSelectionAllowed="1" showAll="0">
      <items>
        <item x="0"/>
        <item x="1"/>
        <item x="2"/>
        <item t="default"/>
      </items>
    </pivotField>
    <pivotField name="Columna 26" compact="0" outline="0" multipleItemSelectionAllowed="1" showAll="0">
      <items>
        <item x="0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</pivotFields>
  <rowFields>
    <field x="7"/>
  </rowFields>
  <colFields>
    <field x="22"/>
  </colFields>
  <pageFields>
    <pageField fld="6"/>
  </pageFields>
  <dataFields>
    <dataField name="COUNTA of A4. ¿En que presentación (en mg) compró hoy?" fld="22" subtotal="count" baseField="0"/>
  </dataFields>
</pivotTableDefinition>
</file>

<file path=xl/pivotTables/pivotTable5.xml><?xml version="1.0" encoding="utf-8"?>
<pivotTableDefinition xmlns="http://schemas.openxmlformats.org/spreadsheetml/2006/main" name="Monitoreo_M(B)_T2.0 5" cacheId="0" dataCaption="" colGrandTotals="0" compact="0" compactData="0">
  <location ref="A77:N85" firstHeaderRow="0" firstDataRow="1" firstDataCol="2" rowPageCount="1" colPageCount="1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ódigo del encuestador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bre del loc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acionalidad (Entrevistado/a" compact="0" outline="0" multipleItemSelectionAllowed="1" showAll="0">
      <items>
        <item x="0"/>
        <item x="1"/>
        <item x="2"/>
        <item x="3"/>
        <item t="default"/>
      </items>
    </pivotField>
    <pivotField name="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&#10;A1. En este local¿Compró usted hoy algún medicamento que contenga tirzepatida?: " axis="axisPage" compact="0" outline="0" multipleItemSelectionAllowed="1" showAll="0">
      <items>
        <item x="0"/>
        <item h="1" x="1"/>
        <item t="default"/>
      </items>
    </pivotField>
    <pivotField name="A1.1. ¿De qué marca? 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A1.2. Especificar la marca (Si marcó la opc. Otro)" compact="0" outline="0" multipleItemSelectionAllowed="1" showAll="0">
      <items>
        <item x="0"/>
        <item t="default"/>
      </items>
    </pivotField>
    <pivotField name="A2. Este producto fue comprado para:" compact="0" outline="0" multipleItemSelectionAllowed="1" showAll="0">
      <items>
        <item x="0"/>
        <item x="1"/>
        <item x="2"/>
        <item x="3"/>
        <item x="4"/>
        <item t="default"/>
      </items>
    </pivotField>
    <pivotField name="&#10;A3. ¿Con qué frecuencia compra este producto aproximadam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&#10;B1. ¿Cuál es el principal motivo por el que utiliza tirzepatida? (Respuesta espontánea) " compact="0" outline="0" multipleItemSelectionAllowed="1" showAll="0">
      <items>
        <item x="0"/>
        <item x="1"/>
        <item x="2"/>
        <item x="3"/>
        <item t="default"/>
      </items>
    </pivotField>
    <pivotField name="B.1.1. Especificar  (Si marcó la opc. Otro)" compact="0" outline="0" multipleItemSelectionAllowed="1" showAll="0">
      <items>
        <item x="0"/>
        <item t="default"/>
      </items>
    </pivotField>
    <pivotField name="&#10;B2. ¿Cuál fue el factor más importante en su decisión de compra?" compact="0" outline="0" multipleItemSelectionAllowed="1" showAll="0">
      <items>
        <item x="0"/>
        <item x="1"/>
        <item x="2"/>
        <item x="3"/>
        <item t="default"/>
      </items>
    </pivotField>
    <pivotField name="B3. ¿Qué información le gustaría recibir sobre este medicamento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1. ¿Quién le recomendó/ indicó usar tirzepatida?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.1.1. Especificar  (Si marcó la opc. Otro)" compact="0" outline="0" multipleItemSelectionAllowed="1" showAll="0">
      <items>
        <item x="0"/>
        <item t="default"/>
      </items>
    </pivotField>
    <pivotField name="C2.  ¿Cuál fue el factor más importante en su decisión de compra?" compact="0" outline="0" multipleItemSelectionAllowed="1" showAll="0">
      <items>
        <item x="0"/>
        <item x="1"/>
        <item x="2"/>
        <item t="default"/>
      </items>
    </pivotField>
    <pivotField name="C.2.1. Especificar  (Si marcó la opc. Otro)" compact="0" outline="0" multipleItemSelectionAllowed="1" showAll="0">
      <items>
        <item x="0"/>
        <item t="default"/>
      </items>
    </pivotField>
    <pivotField name="D.1. ¿Cuánto pagó por cada caj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.1.1. Unidad Monetaria" compact="0" outline="0" multipleItemSelectionAllowed="1" showAll="0">
      <items>
        <item x="0"/>
        <item x="1"/>
        <item x="2"/>
        <item x="3"/>
        <item t="default"/>
      </items>
    </pivotField>
    <pivotField name="D2. ¿Considera que el precio de tirzepatida es:?" compact="0" outline="0" multipleItemSelectionAllowed="1" showAll="0">
      <items>
        <item x="0"/>
        <item x="1"/>
        <item x="2"/>
        <item x="3"/>
        <item t="default"/>
      </items>
    </pivotField>
    <pivotField name="A4. ¿En que presentación (en mg) compró hoy?" axis="axisCol" compact="0" outline="0" multipleItemSelectionAllowed="1" showAll="0" sortType="ascending">
      <items>
        <item x="6"/>
        <item x="5"/>
        <item x="3"/>
        <item x="0"/>
        <item x="2"/>
        <item x="1"/>
        <item x="4"/>
        <item t="default"/>
      </items>
    </pivotField>
    <pivotField name="A.4.1. Especificar  (Si marcó la opc. Otra)" compact="0" outline="0" multipleItemSelectionAllowed="1" showAll="0">
      <items>
        <item x="0"/>
        <item t="default"/>
      </items>
    </pivotField>
    <pivotField name="A.5. ¿Esta es la presentación que elije siempre que compra?" axis="axisCol" dataField="1" compact="0" outline="0" multipleItemSelectionAllowed="1" showAll="0" sortType="ascending">
      <items>
        <item x="2"/>
        <item x="1"/>
        <item x="0"/>
        <item t="default"/>
      </items>
    </pivotField>
    <pivotField name="Columna 26" compact="0" outline="0" multipleItemSelectionAllowed="1" showAll="0">
      <items>
        <item x="0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</pivotFields>
  <rowFields>
    <field x="7"/>
  </rowFields>
  <colFields>
    <field x="22"/>
    <field x="24"/>
  </colFields>
  <pageFields>
    <pageField fld="6"/>
  </pageFields>
  <dataFields>
    <dataField name="COUNTA of A.5. ¿Esta es la presentación que elije siempre que compra?" fld="24" subtotal="count" baseField="0"/>
  </dataFields>
</pivotTableDefinition>
</file>

<file path=xl/pivotTables/pivotTable6.xml><?xml version="1.0" encoding="utf-8"?>
<pivotTableDefinition xmlns="http://schemas.openxmlformats.org/spreadsheetml/2006/main" name="Monitoreo_M(B)_T2.0 6" cacheId="0" dataCaption="" compact="0" compactData="0">
  <location ref="A98:E105" firstHeaderRow="0" firstDataRow="1" firstDataCol="1" rowPageCount="1" colPageCount="1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ódigo del encuestador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bre del loc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acionalidad (Entrevistado/a" axis="axisCol" dataField="1" compact="0" outline="0" multipleItemSelectionAllowed="1" showAll="0" sortType="ascending">
      <items>
        <item x="3"/>
        <item x="1"/>
        <item x="0"/>
        <item x="2"/>
        <item t="default"/>
      </items>
    </pivotField>
    <pivotField name="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&#10;A1. En este local¿Compró usted hoy algún medicamento que contenga tirzepatida?: " axis="axisPage" compact="0" outline="0" multipleItemSelectionAllowed="1" showAll="0">
      <items>
        <item x="0"/>
        <item h="1" x="1"/>
        <item t="default"/>
      </items>
    </pivotField>
    <pivotField name="A1.1. ¿De qué marca? 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A1.2. Especificar la marca (Si marcó la opc. Otro)" compact="0" outline="0" multipleItemSelectionAllowed="1" showAll="0">
      <items>
        <item x="0"/>
        <item t="default"/>
      </items>
    </pivotField>
    <pivotField name="A2. Este producto fue comprado para:" compact="0" outline="0" multipleItemSelectionAllowed="1" showAll="0">
      <items>
        <item x="0"/>
        <item x="1"/>
        <item x="2"/>
        <item x="3"/>
        <item x="4"/>
        <item t="default"/>
      </items>
    </pivotField>
    <pivotField name="&#10;A3. ¿Con qué frecuencia compra este producto aproximadam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&#10;B1. ¿Cuál es el principal motivo por el que utiliza tirzepatida? (Respuesta espontánea) " compact="0" outline="0" multipleItemSelectionAllowed="1" showAll="0">
      <items>
        <item x="0"/>
        <item x="1"/>
        <item x="2"/>
        <item x="3"/>
        <item t="default"/>
      </items>
    </pivotField>
    <pivotField name="B.1.1. Especificar  (Si marcó la opc. Otro)" compact="0" outline="0" multipleItemSelectionAllowed="1" showAll="0">
      <items>
        <item x="0"/>
        <item t="default"/>
      </items>
    </pivotField>
    <pivotField name="&#10;B2. ¿Cuál fue el factor más importante en su decisión de compra?" compact="0" outline="0" multipleItemSelectionAllowed="1" showAll="0">
      <items>
        <item x="0"/>
        <item x="1"/>
        <item x="2"/>
        <item x="3"/>
        <item t="default"/>
      </items>
    </pivotField>
    <pivotField name="B3. ¿Qué información le gustaría recibir sobre este medicamento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1. ¿Quién le recomendó/ indicó usar tirzepatida?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.1.1. Especificar  (Si marcó la opc. Otro)" compact="0" outline="0" multipleItemSelectionAllowed="1" showAll="0">
      <items>
        <item x="0"/>
        <item t="default"/>
      </items>
    </pivotField>
    <pivotField name="C2.  ¿Cuál fue el factor más importante en su decisión de compra?" compact="0" outline="0" multipleItemSelectionAllowed="1" showAll="0">
      <items>
        <item x="0"/>
        <item x="1"/>
        <item x="2"/>
        <item t="default"/>
      </items>
    </pivotField>
    <pivotField name="C.2.1. Especificar  (Si marcó la opc. Otro)" compact="0" outline="0" multipleItemSelectionAllowed="1" showAll="0">
      <items>
        <item x="0"/>
        <item t="default"/>
      </items>
    </pivotField>
    <pivotField name="D.1. ¿Cuánto pagó por cada caj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.1.1. Unidad Monetaria" compact="0" outline="0" multipleItemSelectionAllowed="1" showAll="0">
      <items>
        <item x="0"/>
        <item x="1"/>
        <item x="2"/>
        <item x="3"/>
        <item t="default"/>
      </items>
    </pivotField>
    <pivotField name="D2. ¿Considera que el precio de tirzepatida es:?" compact="0" outline="0" multipleItemSelectionAllowed="1" showAll="0">
      <items>
        <item x="0"/>
        <item x="1"/>
        <item x="2"/>
        <item x="3"/>
        <item t="default"/>
      </items>
    </pivotField>
    <pivotField name="A4. ¿En que presentación (en mg) compró hoy?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4.1. Especificar  (Si marcó la opc. Otra)" compact="0" outline="0" multipleItemSelectionAllowed="1" showAll="0">
      <items>
        <item x="0"/>
        <item t="default"/>
      </items>
    </pivotField>
    <pivotField name="A.5. ¿Esta es la presentación que elije siempre que compra?" compact="0" outline="0" multipleItemSelectionAllowed="1" showAll="0">
      <items>
        <item x="0"/>
        <item x="1"/>
        <item x="2"/>
        <item t="default"/>
      </items>
    </pivotField>
    <pivotField name="Columna 26" compact="0" outline="0" multipleItemSelectionAllowed="1" showAll="0">
      <items>
        <item x="0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</pivotFields>
  <rowFields>
    <field x="7"/>
  </rowFields>
  <colFields>
    <field x="3"/>
  </colFields>
  <pageFields>
    <pageField fld="6"/>
  </pageFields>
  <dataFields>
    <dataField name="COUNTA of Nacionalidad (Entrevistado/a" fld="3" subtotal="count" baseField="0"/>
  </dataFields>
</pivotTableDefinition>
</file>

<file path=xl/pivotTables/pivotTable7.xml><?xml version="1.0" encoding="utf-8"?>
<pivotTableDefinition xmlns="http://schemas.openxmlformats.org/spreadsheetml/2006/main" name="Monitoreo_M(B)_T2.0 7" cacheId="0" dataCaption="" colGrandTotals="0" compact="0" compactData="0">
  <location ref="A109:J117" firstHeaderRow="0" firstDataRow="1" firstDataCol="2" rowPageCount="1" colPageCount="1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ódigo del encuestador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bre del loc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acionalidad (Entrevistado/a" axis="axisCol" compact="0" outline="0" multipleItemSelectionAllowed="1" showAll="0" sortType="ascending" defaultSubtotal="0">
      <items>
        <item x="3"/>
        <item x="1"/>
        <item x="0"/>
        <item x="2"/>
      </items>
    </pivotField>
    <pivotField name="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&#10;A1. En este local¿Compró usted hoy algún medicamento que contenga tirzepatida?: " axis="axisPage" compact="0" outline="0" multipleItemSelectionAllowed="1" showAll="0">
      <items>
        <item x="0"/>
        <item h="1" x="1"/>
        <item t="default"/>
      </items>
    </pivotField>
    <pivotField name="A1.1. ¿De qué marca? 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A1.2. Especificar la marca (Si marcó la opc. Otro)" compact="0" outline="0" multipleItemSelectionAllowed="1" showAll="0">
      <items>
        <item x="0"/>
        <item t="default"/>
      </items>
    </pivotField>
    <pivotField name="A2. Este producto fue comprado para:" compact="0" outline="0" multipleItemSelectionAllowed="1" showAll="0">
      <items>
        <item x="0"/>
        <item x="1"/>
        <item x="2"/>
        <item x="3"/>
        <item x="4"/>
        <item t="default"/>
      </items>
    </pivotField>
    <pivotField name="&#10;A3. ¿Con qué frecuencia compra este producto aproximadam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&#10;B1. ¿Cuál es el principal motivo por el que utiliza tirzepatida? (Respuesta espontánea) " compact="0" outline="0" multipleItemSelectionAllowed="1" showAll="0">
      <items>
        <item x="0"/>
        <item x="1"/>
        <item x="2"/>
        <item x="3"/>
        <item t="default"/>
      </items>
    </pivotField>
    <pivotField name="B.1.1. Especificar  (Si marcó la opc. Otro)" compact="0" outline="0" multipleItemSelectionAllowed="1" showAll="0">
      <items>
        <item x="0"/>
        <item t="default"/>
      </items>
    </pivotField>
    <pivotField name="&#10;B2. ¿Cuál fue el factor más importante en su decisión de compra?" compact="0" outline="0" multipleItemSelectionAllowed="1" showAll="0">
      <items>
        <item x="0"/>
        <item x="1"/>
        <item x="2"/>
        <item x="3"/>
        <item t="default"/>
      </items>
    </pivotField>
    <pivotField name="B3. ¿Qué información le gustaría recibir sobre este medicamento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1. ¿Quién le recomendó/ indicó usar tirzepatida?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.1.1. Especificar  (Si marcó la opc. Otro)" compact="0" outline="0" multipleItemSelectionAllowed="1" showAll="0">
      <items>
        <item x="0"/>
        <item t="default"/>
      </items>
    </pivotField>
    <pivotField name="C2.  ¿Cuál fue el factor más importante en su decisión de compra?" compact="0" outline="0" multipleItemSelectionAllowed="1" showAll="0">
      <items>
        <item x="0"/>
        <item x="1"/>
        <item x="2"/>
        <item t="default"/>
      </items>
    </pivotField>
    <pivotField name="C.2.1. Especificar  (Si marcó la opc. Otro)" compact="0" outline="0" multipleItemSelectionAllowed="1" showAll="0">
      <items>
        <item x="0"/>
        <item t="default"/>
      </items>
    </pivotField>
    <pivotField name="D.1. ¿Cuánto pagó por cada caj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.1.1. Unidad Monetaria" compact="0" outline="0" multipleItemSelectionAllowed="1" showAll="0">
      <items>
        <item x="0"/>
        <item x="1"/>
        <item x="2"/>
        <item x="3"/>
        <item t="default"/>
      </items>
    </pivotField>
    <pivotField name="D2. ¿Considera que el precio de tirzepatida es:?" compact="0" outline="0" multipleItemSelectionAllowed="1" showAll="0">
      <items>
        <item x="0"/>
        <item x="1"/>
        <item x="2"/>
        <item x="3"/>
        <item t="default"/>
      </items>
    </pivotField>
    <pivotField name="A4. ¿En que presentación (en mg) compró hoy?" axis="axisCol" dataField="1" compact="0" outline="0" multipleItemSelectionAllowed="1" showAll="0" sortType="ascending">
      <items>
        <item x="6"/>
        <item x="5"/>
        <item x="3"/>
        <item x="0"/>
        <item x="2"/>
        <item x="1"/>
        <item x="4"/>
        <item t="default"/>
      </items>
    </pivotField>
    <pivotField name="A.4.1. Especificar  (Si marcó la opc. Otra)" compact="0" outline="0" multipleItemSelectionAllowed="1" showAll="0">
      <items>
        <item x="0"/>
        <item t="default"/>
      </items>
    </pivotField>
    <pivotField name="A.5. ¿Esta es la presentación que elije siempre que compra?" compact="0" outline="0" multipleItemSelectionAllowed="1" showAll="0">
      <items>
        <item x="0"/>
        <item x="1"/>
        <item x="2"/>
        <item t="default"/>
      </items>
    </pivotField>
    <pivotField name="Columna 26" compact="0" outline="0" multipleItemSelectionAllowed="1" showAll="0">
      <items>
        <item x="0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</pivotFields>
  <rowFields>
    <field x="7"/>
  </rowFields>
  <colFields>
    <field x="3"/>
    <field x="22"/>
  </colFields>
  <pageFields>
    <pageField fld="6"/>
  </pageFields>
  <dataFields>
    <dataField name="COUNTA of A4. ¿En que presentación (en mg) compró hoy?" fld="22" subtotal="count" baseField="0"/>
  </dataFields>
</pivotTableDefinition>
</file>

<file path=xl/tables/table1.xml><?xml version="1.0" encoding="utf-8"?>
<table xmlns="http://schemas.openxmlformats.org/spreadsheetml/2006/main" ref="A1:AE42" displayName="Form_Responses" name="Form_Responses" id="1">
  <autoFilter ref="$A$1:$AE$42"/>
  <tableColumns count="31">
    <tableColumn name="Marca temporal" id="1"/>
    <tableColumn name="Código del encuestador " id="2"/>
    <tableColumn name="Nombre del local" id="3"/>
    <tableColumn name="Nacionalidad (Entrevistado/a" id="4"/>
    <tableColumn name="Edad" id="5"/>
    <tableColumn name="Sexo" id="6"/>
    <tableColumn name="_x000a_A1. En este local¿Compró usted hoy algún medicamento que contenga tirzepatida?: " id="7"/>
    <tableColumn name="A1.1. ¿De qué marca? " id="8"/>
    <tableColumn name="A1.2. Especificar la marca (Si marcó la opc. Otro)" id="9"/>
    <tableColumn name="A2. Este producto fue comprado para:" id="10"/>
    <tableColumn name="_x000a_A3. ¿Con qué frecuencia compra este producto aproximadamente?" id="11"/>
    <tableColumn name="_x000a_B1. ¿Cuál es el principal motivo por el que utiliza tirzepatida? (Respuesta espontánea) " id="12"/>
    <tableColumn name="B.1.1. Especificar  (Si marcó la opc. Otro)" id="13"/>
    <tableColumn name="_x000a_B2. ¿Cuál fue el factor más importante en su decisión de compra?" id="14"/>
    <tableColumn name="B3. ¿Qué información le gustaría recibir sobre este medicamento? " id="15"/>
    <tableColumn name="C1. ¿Quién le recomendó/ indicó usar tirzepatida? " id="16"/>
    <tableColumn name="C.1.1. Especificar  (Si marcó la opc. Otro)" id="17"/>
    <tableColumn name="C2.  ¿Cuál fue el factor más importante en su decisión de compra?" id="18"/>
    <tableColumn name="C.2.1. Especificar  (Si marcó la opc. Otro)" id="19"/>
    <tableColumn name="D.1. ¿Cuánto pagó por cada caja? " id="20"/>
    <tableColumn name="D.1.1. Unidad Monetaria" id="21"/>
    <tableColumn name="D2. ¿Considera que el precio de tirzepatida es:?" id="22"/>
    <tableColumn name="A4. ¿En que presentación (en mg) compró hoy?" id="23"/>
    <tableColumn name="A.4.1. Especificar  (Si marcó la opc. Otra)" id="24"/>
    <tableColumn name="A.5. ¿Esta es la presentación que elije siempre que compra?" id="25"/>
    <tableColumn name="Columna 26" id="26"/>
    <tableColumn name="Columna 27" id="27"/>
    <tableColumn name="Columna 28" id="28"/>
    <tableColumn name="Columna 29" id="29"/>
    <tableColumn name="Columna 30" id="30"/>
    <tableColumn name="Columna 31" id="3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0"/>
    <col customWidth="1" min="3" max="3" width="18.88"/>
    <col customWidth="1" min="4" max="4" width="26.5"/>
    <col customWidth="1" min="5" max="6" width="18.88"/>
    <col customWidth="1" min="7" max="7" width="37.63"/>
    <col customWidth="1" min="8" max="8" width="21.5"/>
    <col customWidth="1" min="9" max="9" width="37.63"/>
    <col customWidth="1" min="10" max="10" width="32.75"/>
    <col customWidth="1" min="11" max="12" width="37.63"/>
    <col customWidth="1" min="13" max="13" width="35.0"/>
    <col customWidth="1" min="14" max="16" width="37.63"/>
    <col customWidth="1" min="17" max="17" width="35.0"/>
    <col customWidth="1" min="18" max="18" width="37.63"/>
    <col customWidth="1" min="19" max="19" width="35.0"/>
    <col customWidth="1" min="20" max="20" width="29.88"/>
    <col customWidth="1" min="21" max="21" width="22.75"/>
    <col customWidth="1" min="22" max="22" width="37.63"/>
    <col customWidth="1" min="23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ht="22.5" customHeight="1">
      <c r="A2" s="4">
        <v>46164.550639583336</v>
      </c>
      <c r="B2" s="5">
        <v>148.0</v>
      </c>
      <c r="C2" s="5" t="s">
        <v>31</v>
      </c>
      <c r="D2" s="5" t="s">
        <v>32</v>
      </c>
      <c r="E2" s="5">
        <v>37.0</v>
      </c>
      <c r="F2" s="5" t="s">
        <v>33</v>
      </c>
      <c r="G2" s="5" t="s">
        <v>34</v>
      </c>
      <c r="H2" s="5" t="s">
        <v>35</v>
      </c>
      <c r="I2" s="6"/>
      <c r="J2" s="5" t="s">
        <v>36</v>
      </c>
      <c r="K2" s="5" t="s">
        <v>37</v>
      </c>
      <c r="L2" s="5" t="s">
        <v>38</v>
      </c>
      <c r="M2" s="6"/>
      <c r="N2" s="5" t="s">
        <v>39</v>
      </c>
      <c r="O2" s="5" t="s">
        <v>40</v>
      </c>
      <c r="P2" s="5" t="s">
        <v>41</v>
      </c>
      <c r="Q2" s="6"/>
      <c r="R2" s="5" t="s">
        <v>39</v>
      </c>
      <c r="S2" s="6"/>
      <c r="T2" s="5">
        <v>85.0</v>
      </c>
      <c r="U2" s="5" t="s">
        <v>42</v>
      </c>
      <c r="V2" s="5" t="s">
        <v>43</v>
      </c>
      <c r="W2" s="5" t="s">
        <v>44</v>
      </c>
      <c r="X2" s="6"/>
      <c r="Y2" s="5" t="s">
        <v>34</v>
      </c>
      <c r="Z2" s="7"/>
      <c r="AA2" s="7"/>
      <c r="AB2" s="7"/>
      <c r="AC2" s="7"/>
      <c r="AD2" s="7"/>
      <c r="AE2" s="7"/>
    </row>
    <row r="3" ht="22.5" customHeight="1">
      <c r="A3" s="8">
        <v>46164.55201128472</v>
      </c>
      <c r="B3" s="9">
        <v>602.0</v>
      </c>
      <c r="C3" s="9" t="s">
        <v>45</v>
      </c>
      <c r="D3" s="9" t="s">
        <v>32</v>
      </c>
      <c r="E3" s="9">
        <v>40.0</v>
      </c>
      <c r="F3" s="9" t="s">
        <v>33</v>
      </c>
      <c r="G3" s="9" t="s">
        <v>34</v>
      </c>
      <c r="H3" s="9" t="s">
        <v>46</v>
      </c>
      <c r="J3" s="9" t="s">
        <v>47</v>
      </c>
      <c r="K3" s="9" t="s">
        <v>48</v>
      </c>
      <c r="L3" s="9" t="s">
        <v>49</v>
      </c>
      <c r="N3" s="9" t="s">
        <v>50</v>
      </c>
      <c r="O3" s="9" t="s">
        <v>51</v>
      </c>
      <c r="P3" s="9" t="s">
        <v>52</v>
      </c>
      <c r="R3" s="9" t="s">
        <v>50</v>
      </c>
      <c r="T3" s="9">
        <v>425.0</v>
      </c>
      <c r="U3" s="9" t="s">
        <v>53</v>
      </c>
      <c r="V3" s="9" t="s">
        <v>54</v>
      </c>
      <c r="W3" s="9" t="s">
        <v>44</v>
      </c>
      <c r="Y3" s="9" t="s">
        <v>34</v>
      </c>
      <c r="Z3" s="7"/>
      <c r="AA3" s="7"/>
      <c r="AB3" s="7"/>
      <c r="AC3" s="7"/>
      <c r="AD3" s="7"/>
      <c r="AE3" s="7"/>
    </row>
    <row r="4" ht="22.5" customHeight="1">
      <c r="A4" s="8">
        <v>46164.552966620366</v>
      </c>
      <c r="B4" s="9">
        <v>148.0</v>
      </c>
      <c r="C4" s="9" t="s">
        <v>31</v>
      </c>
      <c r="D4" s="9" t="s">
        <v>32</v>
      </c>
      <c r="E4" s="9">
        <v>39.0</v>
      </c>
      <c r="F4" s="9" t="s">
        <v>33</v>
      </c>
      <c r="G4" s="9" t="s">
        <v>34</v>
      </c>
      <c r="H4" s="9" t="s">
        <v>35</v>
      </c>
      <c r="J4" s="9" t="s">
        <v>36</v>
      </c>
      <c r="K4" s="9" t="s">
        <v>37</v>
      </c>
      <c r="L4" s="9" t="s">
        <v>38</v>
      </c>
      <c r="N4" s="9" t="s">
        <v>39</v>
      </c>
      <c r="O4" s="9" t="s">
        <v>40</v>
      </c>
      <c r="P4" s="9" t="s">
        <v>41</v>
      </c>
      <c r="R4" s="9" t="s">
        <v>39</v>
      </c>
      <c r="T4" s="9">
        <v>420.0</v>
      </c>
      <c r="U4" s="9" t="s">
        <v>53</v>
      </c>
      <c r="V4" s="9" t="s">
        <v>43</v>
      </c>
      <c r="W4" s="9" t="s">
        <v>44</v>
      </c>
      <c r="Y4" s="9" t="s">
        <v>34</v>
      </c>
      <c r="Z4" s="7"/>
      <c r="AA4" s="7"/>
      <c r="AB4" s="7"/>
      <c r="AC4" s="7"/>
      <c r="AD4" s="7"/>
      <c r="AE4" s="7"/>
    </row>
    <row r="5" ht="22.5" customHeight="1">
      <c r="A5" s="8">
        <v>46164.55390462963</v>
      </c>
      <c r="B5" s="9">
        <v>602.0</v>
      </c>
      <c r="C5" s="9" t="s">
        <v>45</v>
      </c>
      <c r="D5" s="9" t="s">
        <v>32</v>
      </c>
      <c r="E5" s="9">
        <v>38.0</v>
      </c>
      <c r="F5" s="9" t="s">
        <v>55</v>
      </c>
      <c r="G5" s="9" t="s">
        <v>34</v>
      </c>
      <c r="H5" s="9" t="s">
        <v>46</v>
      </c>
      <c r="J5" s="9" t="s">
        <v>47</v>
      </c>
      <c r="K5" s="9" t="s">
        <v>56</v>
      </c>
      <c r="L5" s="9" t="s">
        <v>38</v>
      </c>
      <c r="N5" s="9" t="s">
        <v>50</v>
      </c>
      <c r="O5" s="9" t="s">
        <v>57</v>
      </c>
      <c r="P5" s="9" t="s">
        <v>41</v>
      </c>
      <c r="R5" s="9" t="s">
        <v>39</v>
      </c>
      <c r="T5" s="9">
        <v>85.0</v>
      </c>
      <c r="U5" s="9" t="s">
        <v>42</v>
      </c>
      <c r="V5" s="9" t="s">
        <v>43</v>
      </c>
      <c r="W5" s="9" t="s">
        <v>44</v>
      </c>
      <c r="Y5" s="9" t="s">
        <v>34</v>
      </c>
      <c r="Z5" s="7"/>
      <c r="AA5" s="7"/>
      <c r="AB5" s="7"/>
      <c r="AC5" s="7"/>
      <c r="AD5" s="7"/>
      <c r="AE5" s="7"/>
    </row>
    <row r="6" ht="22.5" customHeight="1">
      <c r="A6" s="8">
        <v>46164.613132557875</v>
      </c>
      <c r="B6" s="9">
        <v>602.0</v>
      </c>
      <c r="C6" s="9" t="s">
        <v>45</v>
      </c>
      <c r="D6" s="9" t="s">
        <v>32</v>
      </c>
      <c r="E6" s="9">
        <v>33.0</v>
      </c>
      <c r="F6" s="9" t="s">
        <v>55</v>
      </c>
      <c r="G6" s="9" t="s">
        <v>34</v>
      </c>
      <c r="H6" s="9" t="s">
        <v>46</v>
      </c>
      <c r="J6" s="9" t="s">
        <v>36</v>
      </c>
      <c r="K6" s="9" t="s">
        <v>37</v>
      </c>
      <c r="L6" s="9" t="s">
        <v>38</v>
      </c>
      <c r="N6" s="9" t="s">
        <v>39</v>
      </c>
      <c r="O6" s="9" t="s">
        <v>58</v>
      </c>
      <c r="P6" s="9" t="s">
        <v>52</v>
      </c>
      <c r="R6" s="9" t="s">
        <v>39</v>
      </c>
      <c r="T6" s="9">
        <v>83.0</v>
      </c>
      <c r="U6" s="9" t="s">
        <v>42</v>
      </c>
      <c r="V6" s="9" t="s">
        <v>43</v>
      </c>
      <c r="W6" s="9" t="s">
        <v>44</v>
      </c>
      <c r="Y6" s="9" t="s">
        <v>34</v>
      </c>
      <c r="Z6" s="7"/>
      <c r="AA6" s="7"/>
      <c r="AB6" s="7"/>
      <c r="AC6" s="7"/>
      <c r="AD6" s="7"/>
      <c r="AE6" s="7"/>
    </row>
    <row r="7" ht="22.5" customHeight="1">
      <c r="A7" s="8">
        <v>46164.656400555556</v>
      </c>
      <c r="B7" s="9">
        <v>148.0</v>
      </c>
      <c r="C7" s="9" t="s">
        <v>31</v>
      </c>
      <c r="D7" s="9" t="s">
        <v>59</v>
      </c>
      <c r="E7" s="9">
        <v>44.0</v>
      </c>
      <c r="F7" s="9" t="s">
        <v>55</v>
      </c>
      <c r="G7" s="9" t="s">
        <v>34</v>
      </c>
      <c r="H7" s="9" t="s">
        <v>60</v>
      </c>
      <c r="J7" s="9" t="s">
        <v>47</v>
      </c>
      <c r="K7" s="9" t="s">
        <v>37</v>
      </c>
      <c r="L7" s="9" t="s">
        <v>49</v>
      </c>
      <c r="N7" s="9" t="s">
        <v>50</v>
      </c>
      <c r="O7" s="9" t="s">
        <v>61</v>
      </c>
      <c r="P7" s="9" t="s">
        <v>41</v>
      </c>
      <c r="R7" s="9" t="s">
        <v>50</v>
      </c>
      <c r="T7" s="9">
        <v>77.0</v>
      </c>
      <c r="U7" s="9" t="s">
        <v>42</v>
      </c>
      <c r="V7" s="9" t="s">
        <v>62</v>
      </c>
      <c r="W7" s="9" t="s">
        <v>44</v>
      </c>
      <c r="Y7" s="9" t="s">
        <v>34</v>
      </c>
      <c r="Z7" s="7"/>
      <c r="AA7" s="7"/>
      <c r="AB7" s="7"/>
      <c r="AC7" s="7"/>
      <c r="AD7" s="7"/>
      <c r="AE7" s="7"/>
    </row>
    <row r="8" ht="22.5" customHeight="1">
      <c r="A8" s="8">
        <v>46164.65755590278</v>
      </c>
      <c r="B8" s="9">
        <v>148.0</v>
      </c>
      <c r="C8" s="9" t="s">
        <v>31</v>
      </c>
      <c r="D8" s="9" t="s">
        <v>59</v>
      </c>
      <c r="E8" s="9">
        <v>26.0</v>
      </c>
      <c r="F8" s="9" t="s">
        <v>55</v>
      </c>
      <c r="G8" s="9" t="s">
        <v>34</v>
      </c>
      <c r="H8" s="9" t="s">
        <v>60</v>
      </c>
      <c r="J8" s="9" t="s">
        <v>47</v>
      </c>
      <c r="K8" s="9" t="s">
        <v>37</v>
      </c>
      <c r="L8" s="9" t="s">
        <v>49</v>
      </c>
      <c r="N8" s="9" t="s">
        <v>50</v>
      </c>
      <c r="O8" s="9" t="s">
        <v>63</v>
      </c>
      <c r="P8" s="9" t="s">
        <v>64</v>
      </c>
      <c r="R8" s="9" t="s">
        <v>50</v>
      </c>
      <c r="T8" s="9">
        <v>77.0</v>
      </c>
      <c r="U8" s="9" t="s">
        <v>42</v>
      </c>
      <c r="V8" s="9" t="s">
        <v>43</v>
      </c>
      <c r="W8" s="9" t="s">
        <v>44</v>
      </c>
      <c r="Y8" s="9" t="s">
        <v>34</v>
      </c>
      <c r="Z8" s="7"/>
      <c r="AA8" s="7"/>
      <c r="AB8" s="7"/>
      <c r="AC8" s="7"/>
      <c r="AD8" s="7"/>
      <c r="AE8" s="7"/>
    </row>
    <row r="9" ht="22.5" customHeight="1">
      <c r="A9" s="8">
        <v>46165.40290883102</v>
      </c>
      <c r="B9" s="9">
        <v>265.0</v>
      </c>
      <c r="C9" s="9" t="s">
        <v>65</v>
      </c>
      <c r="D9" s="9" t="s">
        <v>32</v>
      </c>
      <c r="E9" s="9">
        <v>35.0</v>
      </c>
      <c r="F9" s="9" t="s">
        <v>55</v>
      </c>
      <c r="G9" s="9" t="s">
        <v>34</v>
      </c>
      <c r="H9" s="9" t="s">
        <v>66</v>
      </c>
      <c r="J9" s="9" t="s">
        <v>47</v>
      </c>
      <c r="K9" s="9" t="s">
        <v>48</v>
      </c>
      <c r="L9" s="9" t="s">
        <v>49</v>
      </c>
      <c r="N9" s="9" t="s">
        <v>50</v>
      </c>
      <c r="O9" s="9" t="s">
        <v>67</v>
      </c>
      <c r="P9" s="9" t="s">
        <v>68</v>
      </c>
      <c r="R9" s="9" t="s">
        <v>50</v>
      </c>
      <c r="T9" s="9">
        <v>81.0</v>
      </c>
      <c r="U9" s="9" t="s">
        <v>42</v>
      </c>
      <c r="V9" s="9" t="s">
        <v>43</v>
      </c>
      <c r="W9" s="9" t="s">
        <v>44</v>
      </c>
      <c r="Y9" s="9" t="s">
        <v>34</v>
      </c>
      <c r="Z9" s="7"/>
      <c r="AA9" s="7"/>
      <c r="AB9" s="7"/>
      <c r="AC9" s="7"/>
      <c r="AD9" s="7"/>
      <c r="AE9" s="7"/>
    </row>
    <row r="10" ht="22.5" customHeight="1">
      <c r="A10" s="8">
        <v>46165.51354747685</v>
      </c>
      <c r="B10" s="9">
        <v>265.0</v>
      </c>
      <c r="C10" s="9" t="s">
        <v>69</v>
      </c>
      <c r="D10" s="9" t="s">
        <v>32</v>
      </c>
      <c r="E10" s="9">
        <v>48.0</v>
      </c>
      <c r="F10" s="9" t="s">
        <v>55</v>
      </c>
      <c r="G10" s="9" t="s">
        <v>34</v>
      </c>
      <c r="H10" s="9" t="s">
        <v>46</v>
      </c>
      <c r="J10" s="9" t="s">
        <v>47</v>
      </c>
      <c r="K10" s="9" t="s">
        <v>37</v>
      </c>
      <c r="L10" s="9" t="s">
        <v>49</v>
      </c>
      <c r="N10" s="9" t="s">
        <v>50</v>
      </c>
      <c r="O10" s="9" t="s">
        <v>67</v>
      </c>
      <c r="P10" s="9" t="s">
        <v>64</v>
      </c>
      <c r="R10" s="9" t="s">
        <v>50</v>
      </c>
      <c r="T10" s="9">
        <v>600000.0</v>
      </c>
      <c r="U10" s="9" t="s">
        <v>70</v>
      </c>
      <c r="V10" s="9" t="s">
        <v>43</v>
      </c>
      <c r="W10" s="9" t="s">
        <v>71</v>
      </c>
      <c r="Y10" s="9" t="s">
        <v>34</v>
      </c>
      <c r="Z10" s="7"/>
      <c r="AA10" s="7"/>
      <c r="AB10" s="7"/>
      <c r="AC10" s="7"/>
      <c r="AD10" s="7"/>
      <c r="AE10" s="7"/>
    </row>
    <row r="11" ht="22.5" customHeight="1">
      <c r="A11" s="8">
        <v>46165.51572065972</v>
      </c>
      <c r="B11" s="9">
        <v>182.0</v>
      </c>
      <c r="C11" s="9" t="s">
        <v>72</v>
      </c>
      <c r="D11" s="9" t="s">
        <v>32</v>
      </c>
      <c r="E11" s="9">
        <v>41.0</v>
      </c>
      <c r="F11" s="9" t="s">
        <v>33</v>
      </c>
      <c r="G11" s="9" t="s">
        <v>34</v>
      </c>
      <c r="H11" s="9" t="s">
        <v>46</v>
      </c>
      <c r="J11" s="9" t="s">
        <v>47</v>
      </c>
      <c r="K11" s="9" t="s">
        <v>56</v>
      </c>
      <c r="L11" s="9" t="s">
        <v>49</v>
      </c>
      <c r="N11" s="9" t="s">
        <v>50</v>
      </c>
      <c r="O11" s="9" t="s">
        <v>67</v>
      </c>
      <c r="P11" s="9" t="s">
        <v>41</v>
      </c>
      <c r="R11" s="9" t="s">
        <v>50</v>
      </c>
      <c r="T11" s="9">
        <v>370.0</v>
      </c>
      <c r="U11" s="9" t="s">
        <v>53</v>
      </c>
      <c r="V11" s="9" t="s">
        <v>54</v>
      </c>
      <c r="W11" s="9" t="s">
        <v>73</v>
      </c>
      <c r="Y11" s="9" t="s">
        <v>34</v>
      </c>
      <c r="Z11" s="7"/>
      <c r="AA11" s="7"/>
      <c r="AB11" s="7"/>
      <c r="AC11" s="7"/>
      <c r="AD11" s="7"/>
      <c r="AE11" s="7"/>
    </row>
    <row r="12" ht="22.5" customHeight="1">
      <c r="A12" s="8">
        <v>46165.51704140047</v>
      </c>
      <c r="B12" s="9">
        <v>265.0</v>
      </c>
      <c r="C12" s="9" t="s">
        <v>69</v>
      </c>
      <c r="D12" s="9" t="s">
        <v>32</v>
      </c>
      <c r="E12" s="9">
        <v>55.0</v>
      </c>
      <c r="F12" s="9" t="s">
        <v>55</v>
      </c>
      <c r="G12" s="9" t="s">
        <v>34</v>
      </c>
      <c r="H12" s="9" t="s">
        <v>46</v>
      </c>
      <c r="J12" s="9" t="s">
        <v>47</v>
      </c>
      <c r="K12" s="9" t="s">
        <v>48</v>
      </c>
      <c r="L12" s="9" t="s">
        <v>38</v>
      </c>
      <c r="N12" s="9" t="s">
        <v>39</v>
      </c>
      <c r="O12" s="9" t="s">
        <v>74</v>
      </c>
      <c r="P12" s="9" t="s">
        <v>52</v>
      </c>
      <c r="R12" s="9" t="s">
        <v>39</v>
      </c>
      <c r="T12" s="9">
        <v>900000.0</v>
      </c>
      <c r="U12" s="9" t="s">
        <v>70</v>
      </c>
      <c r="V12" s="9" t="s">
        <v>62</v>
      </c>
      <c r="W12" s="9" t="s">
        <v>75</v>
      </c>
      <c r="Y12" s="9" t="s">
        <v>34</v>
      </c>
      <c r="Z12" s="7"/>
      <c r="AA12" s="7"/>
      <c r="AB12" s="7"/>
      <c r="AC12" s="7"/>
      <c r="AD12" s="7"/>
      <c r="AE12" s="7"/>
    </row>
    <row r="13" ht="22.5" customHeight="1">
      <c r="A13" s="8">
        <v>46165.51913587963</v>
      </c>
      <c r="B13" s="9">
        <v>265.0</v>
      </c>
      <c r="C13" s="9" t="s">
        <v>69</v>
      </c>
      <c r="D13" s="9" t="s">
        <v>32</v>
      </c>
      <c r="E13" s="9">
        <v>60.0</v>
      </c>
      <c r="F13" s="9" t="s">
        <v>33</v>
      </c>
      <c r="G13" s="9" t="s">
        <v>34</v>
      </c>
      <c r="H13" s="9" t="s">
        <v>46</v>
      </c>
      <c r="J13" s="9" t="s">
        <v>47</v>
      </c>
      <c r="K13" s="9" t="s">
        <v>48</v>
      </c>
      <c r="L13" s="9" t="s">
        <v>38</v>
      </c>
      <c r="N13" s="9" t="s">
        <v>39</v>
      </c>
      <c r="O13" s="9" t="s">
        <v>76</v>
      </c>
      <c r="P13" s="9" t="s">
        <v>52</v>
      </c>
      <c r="R13" s="9" t="s">
        <v>39</v>
      </c>
      <c r="T13" s="9">
        <v>900000.0</v>
      </c>
      <c r="U13" s="9" t="s">
        <v>70</v>
      </c>
      <c r="V13" s="9" t="s">
        <v>43</v>
      </c>
      <c r="W13" s="9" t="s">
        <v>75</v>
      </c>
      <c r="Y13" s="9" t="s">
        <v>34</v>
      </c>
      <c r="Z13" s="7"/>
      <c r="AA13" s="7"/>
      <c r="AB13" s="7"/>
      <c r="AC13" s="7"/>
      <c r="AD13" s="7"/>
      <c r="AE13" s="7"/>
    </row>
    <row r="14" ht="22.5" customHeight="1">
      <c r="A14" s="8">
        <v>46165.521046064816</v>
      </c>
      <c r="B14" s="9">
        <v>182.0</v>
      </c>
      <c r="C14" s="9" t="s">
        <v>72</v>
      </c>
      <c r="D14" s="9" t="s">
        <v>32</v>
      </c>
      <c r="E14" s="9">
        <v>53.0</v>
      </c>
      <c r="F14" s="9" t="s">
        <v>55</v>
      </c>
      <c r="G14" s="9" t="s">
        <v>34</v>
      </c>
      <c r="H14" s="9" t="s">
        <v>46</v>
      </c>
      <c r="J14" s="9" t="s">
        <v>47</v>
      </c>
      <c r="K14" s="9" t="s">
        <v>37</v>
      </c>
      <c r="L14" s="9" t="s">
        <v>38</v>
      </c>
      <c r="N14" s="9" t="s">
        <v>39</v>
      </c>
      <c r="O14" s="9" t="s">
        <v>40</v>
      </c>
      <c r="P14" s="9" t="s">
        <v>41</v>
      </c>
      <c r="R14" s="9" t="s">
        <v>39</v>
      </c>
      <c r="T14" s="9">
        <v>87.0</v>
      </c>
      <c r="U14" s="9" t="s">
        <v>42</v>
      </c>
      <c r="V14" s="9" t="s">
        <v>43</v>
      </c>
      <c r="W14" s="9" t="s">
        <v>71</v>
      </c>
      <c r="Y14" s="9" t="s">
        <v>34</v>
      </c>
      <c r="Z14" s="7"/>
      <c r="AA14" s="7"/>
      <c r="AB14" s="7"/>
      <c r="AC14" s="7"/>
      <c r="AD14" s="7"/>
      <c r="AE14" s="7"/>
    </row>
    <row r="15" ht="22.5" customHeight="1">
      <c r="A15" s="8">
        <v>46165.521903472225</v>
      </c>
      <c r="B15" s="9">
        <v>265.0</v>
      </c>
      <c r="C15" s="9" t="s">
        <v>69</v>
      </c>
      <c r="D15" s="9" t="s">
        <v>32</v>
      </c>
      <c r="E15" s="9">
        <v>36.0</v>
      </c>
      <c r="F15" s="9" t="s">
        <v>33</v>
      </c>
      <c r="G15" s="9" t="s">
        <v>34</v>
      </c>
      <c r="H15" s="9" t="s">
        <v>60</v>
      </c>
      <c r="J15" s="9" t="s">
        <v>47</v>
      </c>
      <c r="K15" s="9" t="s">
        <v>37</v>
      </c>
      <c r="L15" s="9" t="s">
        <v>49</v>
      </c>
      <c r="N15" s="9" t="s">
        <v>50</v>
      </c>
      <c r="O15" s="9" t="s">
        <v>67</v>
      </c>
      <c r="P15" s="9" t="s">
        <v>77</v>
      </c>
      <c r="R15" s="9" t="s">
        <v>39</v>
      </c>
      <c r="T15" s="9">
        <v>1110000.0</v>
      </c>
      <c r="U15" s="9" t="s">
        <v>70</v>
      </c>
      <c r="V15" s="9" t="s">
        <v>43</v>
      </c>
      <c r="W15" s="9" t="s">
        <v>75</v>
      </c>
      <c r="Y15" s="9" t="s">
        <v>34</v>
      </c>
      <c r="Z15" s="7"/>
      <c r="AA15" s="7"/>
      <c r="AB15" s="7"/>
      <c r="AC15" s="7"/>
      <c r="AD15" s="7"/>
      <c r="AE15" s="7"/>
    </row>
    <row r="16" ht="22.5" customHeight="1">
      <c r="A16" s="8">
        <v>46165.52560516204</v>
      </c>
      <c r="B16" s="9">
        <v>265.0</v>
      </c>
      <c r="C16" s="9" t="s">
        <v>69</v>
      </c>
      <c r="D16" s="9" t="s">
        <v>32</v>
      </c>
      <c r="E16" s="9">
        <v>40.0</v>
      </c>
      <c r="F16" s="9" t="s">
        <v>55</v>
      </c>
      <c r="G16" s="9" t="s">
        <v>34</v>
      </c>
      <c r="H16" s="9" t="s">
        <v>66</v>
      </c>
      <c r="J16" s="9" t="s">
        <v>47</v>
      </c>
      <c r="K16" s="9" t="s">
        <v>37</v>
      </c>
      <c r="L16" s="9" t="s">
        <v>49</v>
      </c>
      <c r="N16" s="9" t="s">
        <v>50</v>
      </c>
      <c r="O16" s="9" t="s">
        <v>78</v>
      </c>
      <c r="P16" s="9" t="s">
        <v>77</v>
      </c>
      <c r="R16" s="9" t="s">
        <v>50</v>
      </c>
      <c r="T16" s="9">
        <v>770000.0</v>
      </c>
      <c r="U16" s="9" t="s">
        <v>70</v>
      </c>
      <c r="V16" s="9" t="s">
        <v>62</v>
      </c>
      <c r="W16" s="9" t="s">
        <v>71</v>
      </c>
      <c r="Y16" s="9" t="s">
        <v>34</v>
      </c>
      <c r="Z16" s="7"/>
      <c r="AA16" s="7"/>
      <c r="AB16" s="7"/>
      <c r="AC16" s="7"/>
      <c r="AD16" s="7"/>
      <c r="AE16" s="7"/>
    </row>
    <row r="17" ht="22.5" customHeight="1">
      <c r="A17" s="8">
        <v>46165.528213495374</v>
      </c>
      <c r="B17" s="9">
        <v>265.0</v>
      </c>
      <c r="C17" s="9" t="s">
        <v>69</v>
      </c>
      <c r="D17" s="9" t="s">
        <v>32</v>
      </c>
      <c r="E17" s="9">
        <v>35.0</v>
      </c>
      <c r="F17" s="9" t="s">
        <v>33</v>
      </c>
      <c r="G17" s="9" t="s">
        <v>34</v>
      </c>
      <c r="H17" s="9" t="s">
        <v>60</v>
      </c>
      <c r="J17" s="9" t="s">
        <v>79</v>
      </c>
      <c r="K17" s="9" t="s">
        <v>37</v>
      </c>
      <c r="L17" s="9" t="s">
        <v>49</v>
      </c>
      <c r="N17" s="9" t="s">
        <v>50</v>
      </c>
      <c r="O17" s="9" t="s">
        <v>67</v>
      </c>
      <c r="P17" s="9" t="s">
        <v>77</v>
      </c>
      <c r="R17" s="9" t="s">
        <v>50</v>
      </c>
      <c r="T17" s="9">
        <v>1150000.0</v>
      </c>
      <c r="U17" s="9" t="s">
        <v>70</v>
      </c>
      <c r="V17" s="9" t="s">
        <v>43</v>
      </c>
      <c r="W17" s="9" t="s">
        <v>44</v>
      </c>
      <c r="Y17" s="9" t="s">
        <v>34</v>
      </c>
      <c r="Z17" s="7"/>
      <c r="AA17" s="7"/>
      <c r="AB17" s="7"/>
      <c r="AC17" s="7"/>
      <c r="AD17" s="7"/>
      <c r="AE17" s="7"/>
    </row>
    <row r="18" ht="22.5" customHeight="1">
      <c r="A18" s="8">
        <v>46165.52949410879</v>
      </c>
      <c r="B18" s="9">
        <v>265.0</v>
      </c>
      <c r="C18" s="9" t="s">
        <v>69</v>
      </c>
      <c r="D18" s="9" t="s">
        <v>32</v>
      </c>
      <c r="E18" s="9">
        <v>44.0</v>
      </c>
      <c r="F18" s="9" t="s">
        <v>33</v>
      </c>
      <c r="G18" s="9" t="s">
        <v>34</v>
      </c>
      <c r="H18" s="9" t="s">
        <v>60</v>
      </c>
      <c r="J18" s="9" t="s">
        <v>47</v>
      </c>
      <c r="K18" s="9" t="s">
        <v>48</v>
      </c>
      <c r="L18" s="9" t="s">
        <v>49</v>
      </c>
      <c r="N18" s="9" t="s">
        <v>50</v>
      </c>
      <c r="O18" s="9" t="s">
        <v>67</v>
      </c>
      <c r="P18" s="9" t="s">
        <v>77</v>
      </c>
      <c r="R18" s="9" t="s">
        <v>50</v>
      </c>
      <c r="T18" s="9">
        <v>1150000.0</v>
      </c>
      <c r="U18" s="9" t="s">
        <v>70</v>
      </c>
      <c r="V18" s="9" t="s">
        <v>43</v>
      </c>
      <c r="W18" s="9" t="s">
        <v>44</v>
      </c>
      <c r="Y18" s="9" t="s">
        <v>34</v>
      </c>
      <c r="Z18" s="7"/>
      <c r="AA18" s="7"/>
      <c r="AB18" s="7"/>
      <c r="AC18" s="7"/>
      <c r="AD18" s="7"/>
      <c r="AE18" s="7"/>
    </row>
    <row r="19" ht="22.5" customHeight="1">
      <c r="A19" s="8">
        <v>46165.532797210646</v>
      </c>
      <c r="B19" s="9">
        <v>265.0</v>
      </c>
      <c r="C19" s="9" t="s">
        <v>69</v>
      </c>
      <c r="D19" s="9" t="s">
        <v>32</v>
      </c>
      <c r="E19" s="9">
        <v>39.0</v>
      </c>
      <c r="F19" s="9" t="s">
        <v>33</v>
      </c>
      <c r="G19" s="9" t="s">
        <v>34</v>
      </c>
      <c r="H19" s="9" t="s">
        <v>60</v>
      </c>
      <c r="J19" s="9" t="s">
        <v>47</v>
      </c>
      <c r="K19" s="9" t="s">
        <v>37</v>
      </c>
      <c r="L19" s="9" t="s">
        <v>49</v>
      </c>
      <c r="N19" s="9" t="s">
        <v>50</v>
      </c>
      <c r="O19" s="9" t="s">
        <v>67</v>
      </c>
      <c r="P19" s="9" t="s">
        <v>64</v>
      </c>
      <c r="R19" s="9" t="s">
        <v>50</v>
      </c>
      <c r="T19" s="9">
        <v>800000.0</v>
      </c>
      <c r="U19" s="9" t="s">
        <v>70</v>
      </c>
      <c r="V19" s="9" t="s">
        <v>43</v>
      </c>
      <c r="W19" s="9" t="s">
        <v>80</v>
      </c>
      <c r="Y19" s="9" t="s">
        <v>34</v>
      </c>
      <c r="Z19" s="7"/>
      <c r="AA19" s="7"/>
      <c r="AB19" s="7"/>
      <c r="AC19" s="7"/>
      <c r="AD19" s="7"/>
      <c r="AE19" s="7"/>
    </row>
    <row r="20" ht="22.5" customHeight="1">
      <c r="A20" s="8">
        <v>46165.533129710646</v>
      </c>
      <c r="B20" s="9">
        <v>182.0</v>
      </c>
      <c r="C20" s="9" t="s">
        <v>72</v>
      </c>
      <c r="D20" s="9" t="s">
        <v>32</v>
      </c>
      <c r="E20" s="9">
        <v>28.0</v>
      </c>
      <c r="F20" s="9" t="s">
        <v>33</v>
      </c>
      <c r="G20" s="9" t="s">
        <v>34</v>
      </c>
      <c r="H20" s="9" t="s">
        <v>66</v>
      </c>
      <c r="J20" s="9" t="s">
        <v>36</v>
      </c>
      <c r="K20" s="9" t="s">
        <v>56</v>
      </c>
      <c r="L20" s="9" t="s">
        <v>81</v>
      </c>
      <c r="N20" s="9" t="s">
        <v>39</v>
      </c>
      <c r="O20" s="9" t="s">
        <v>76</v>
      </c>
      <c r="P20" s="9" t="s">
        <v>41</v>
      </c>
      <c r="R20" s="9" t="s">
        <v>39</v>
      </c>
      <c r="T20" s="9">
        <v>310.0</v>
      </c>
      <c r="U20" s="9" t="s">
        <v>53</v>
      </c>
      <c r="V20" s="9" t="s">
        <v>54</v>
      </c>
      <c r="W20" s="9" t="s">
        <v>73</v>
      </c>
      <c r="Y20" s="9" t="s">
        <v>34</v>
      </c>
      <c r="Z20" s="7"/>
      <c r="AA20" s="7"/>
      <c r="AB20" s="7"/>
      <c r="AC20" s="7"/>
      <c r="AD20" s="7"/>
      <c r="AE20" s="7"/>
    </row>
    <row r="21" ht="22.5" customHeight="1">
      <c r="A21" s="8">
        <v>46165.544684479166</v>
      </c>
      <c r="B21" s="9">
        <v>182.0</v>
      </c>
      <c r="C21" s="9" t="s">
        <v>72</v>
      </c>
      <c r="D21" s="9" t="s">
        <v>32</v>
      </c>
      <c r="E21" s="9">
        <v>33.0</v>
      </c>
      <c r="F21" s="9" t="s">
        <v>55</v>
      </c>
      <c r="G21" s="9" t="s">
        <v>34</v>
      </c>
      <c r="H21" s="9" t="s">
        <v>35</v>
      </c>
      <c r="J21" s="9" t="s">
        <v>47</v>
      </c>
      <c r="K21" s="9" t="s">
        <v>56</v>
      </c>
      <c r="L21" s="9" t="s">
        <v>49</v>
      </c>
      <c r="N21" s="9" t="s">
        <v>50</v>
      </c>
      <c r="O21" s="9" t="s">
        <v>67</v>
      </c>
      <c r="P21" s="9" t="s">
        <v>41</v>
      </c>
      <c r="R21" s="9" t="s">
        <v>50</v>
      </c>
      <c r="T21" s="9">
        <v>89.0</v>
      </c>
      <c r="U21" s="9" t="s">
        <v>42</v>
      </c>
      <c r="V21" s="9" t="s">
        <v>43</v>
      </c>
      <c r="W21" s="9" t="s">
        <v>71</v>
      </c>
      <c r="Y21" s="9" t="s">
        <v>82</v>
      </c>
      <c r="Z21" s="7"/>
      <c r="AA21" s="7"/>
      <c r="AB21" s="7"/>
      <c r="AC21" s="7"/>
      <c r="AD21" s="7"/>
      <c r="AE21" s="7"/>
    </row>
    <row r="22" ht="22.5" customHeight="1">
      <c r="A22" s="8">
        <v>46165.58589665509</v>
      </c>
      <c r="B22" s="9">
        <v>265.0</v>
      </c>
      <c r="C22" s="9" t="s">
        <v>65</v>
      </c>
      <c r="D22" s="9" t="s">
        <v>32</v>
      </c>
      <c r="E22" s="9">
        <v>40.0</v>
      </c>
      <c r="F22" s="9" t="s">
        <v>55</v>
      </c>
      <c r="G22" s="9" t="s">
        <v>34</v>
      </c>
      <c r="H22" s="9" t="s">
        <v>60</v>
      </c>
      <c r="J22" s="9" t="s">
        <v>47</v>
      </c>
      <c r="K22" s="9" t="s">
        <v>37</v>
      </c>
      <c r="L22" s="9" t="s">
        <v>49</v>
      </c>
      <c r="N22" s="9" t="s">
        <v>50</v>
      </c>
      <c r="O22" s="9" t="s">
        <v>78</v>
      </c>
      <c r="P22" s="9" t="s">
        <v>77</v>
      </c>
      <c r="R22" s="9" t="s">
        <v>50</v>
      </c>
      <c r="T22" s="9">
        <v>77.0</v>
      </c>
      <c r="U22" s="9" t="s">
        <v>42</v>
      </c>
      <c r="V22" s="9" t="s">
        <v>43</v>
      </c>
      <c r="W22" s="9" t="s">
        <v>44</v>
      </c>
      <c r="Y22" s="9" t="s">
        <v>34</v>
      </c>
      <c r="Z22" s="7"/>
      <c r="AA22" s="7"/>
      <c r="AB22" s="7"/>
      <c r="AC22" s="7"/>
      <c r="AD22" s="7"/>
      <c r="AE22" s="7"/>
    </row>
    <row r="23" ht="22.5" customHeight="1">
      <c r="A23" s="8">
        <v>46165.58871454861</v>
      </c>
      <c r="B23" s="9">
        <v>265.0</v>
      </c>
      <c r="C23" s="9" t="s">
        <v>65</v>
      </c>
      <c r="D23" s="9" t="s">
        <v>32</v>
      </c>
      <c r="E23" s="9">
        <v>40.0</v>
      </c>
      <c r="F23" s="9" t="s">
        <v>33</v>
      </c>
      <c r="G23" s="9" t="s">
        <v>34</v>
      </c>
      <c r="H23" s="9" t="s">
        <v>60</v>
      </c>
      <c r="J23" s="9" t="s">
        <v>47</v>
      </c>
      <c r="K23" s="9" t="s">
        <v>37</v>
      </c>
      <c r="L23" s="9" t="s">
        <v>49</v>
      </c>
      <c r="N23" s="9" t="s">
        <v>50</v>
      </c>
      <c r="O23" s="9" t="s">
        <v>67</v>
      </c>
      <c r="P23" s="9" t="s">
        <v>77</v>
      </c>
      <c r="R23" s="9" t="s">
        <v>50</v>
      </c>
      <c r="T23" s="9">
        <v>60.0</v>
      </c>
      <c r="U23" s="9" t="s">
        <v>42</v>
      </c>
      <c r="V23" s="9" t="s">
        <v>54</v>
      </c>
      <c r="W23" s="9" t="s">
        <v>71</v>
      </c>
      <c r="Y23" s="9" t="s">
        <v>34</v>
      </c>
      <c r="Z23" s="7"/>
      <c r="AA23" s="7"/>
      <c r="AB23" s="7"/>
      <c r="AC23" s="7"/>
      <c r="AD23" s="7"/>
      <c r="AE23" s="7"/>
    </row>
    <row r="24" ht="22.5" customHeight="1">
      <c r="A24" s="8">
        <v>46165.59345172453</v>
      </c>
      <c r="B24" s="9">
        <v>265.0</v>
      </c>
      <c r="C24" s="9" t="s">
        <v>65</v>
      </c>
      <c r="D24" s="9" t="s">
        <v>32</v>
      </c>
      <c r="E24" s="9">
        <v>47.0</v>
      </c>
      <c r="F24" s="9" t="s">
        <v>33</v>
      </c>
      <c r="G24" s="9" t="s">
        <v>34</v>
      </c>
      <c r="H24" s="9" t="s">
        <v>66</v>
      </c>
      <c r="J24" s="9" t="s">
        <v>47</v>
      </c>
      <c r="K24" s="9" t="s">
        <v>48</v>
      </c>
      <c r="L24" s="9" t="s">
        <v>49</v>
      </c>
      <c r="N24" s="9" t="s">
        <v>50</v>
      </c>
      <c r="O24" s="9" t="s">
        <v>67</v>
      </c>
      <c r="P24" s="9" t="s">
        <v>77</v>
      </c>
      <c r="R24" s="9" t="s">
        <v>50</v>
      </c>
      <c r="T24" s="9">
        <v>81.0</v>
      </c>
      <c r="U24" s="9" t="s">
        <v>42</v>
      </c>
      <c r="V24" s="9" t="s">
        <v>62</v>
      </c>
      <c r="W24" s="9" t="s">
        <v>44</v>
      </c>
      <c r="Y24" s="9" t="s">
        <v>34</v>
      </c>
      <c r="Z24" s="7"/>
      <c r="AA24" s="7"/>
      <c r="AB24" s="7"/>
      <c r="AC24" s="7"/>
      <c r="AD24" s="7"/>
      <c r="AE24" s="7"/>
    </row>
    <row r="25" ht="22.5" customHeight="1">
      <c r="A25" s="8">
        <v>46165.59838443287</v>
      </c>
      <c r="B25" s="9">
        <v>265.0</v>
      </c>
      <c r="C25" s="9" t="s">
        <v>65</v>
      </c>
      <c r="D25" s="9" t="s">
        <v>83</v>
      </c>
      <c r="E25" s="9">
        <v>35.0</v>
      </c>
      <c r="F25" s="9" t="s">
        <v>55</v>
      </c>
      <c r="G25" s="9" t="s">
        <v>34</v>
      </c>
      <c r="H25" s="9" t="s">
        <v>60</v>
      </c>
      <c r="J25" s="9" t="s">
        <v>47</v>
      </c>
      <c r="K25" s="9" t="s">
        <v>37</v>
      </c>
      <c r="L25" s="9" t="s">
        <v>49</v>
      </c>
      <c r="N25" s="9" t="s">
        <v>50</v>
      </c>
      <c r="O25" s="9" t="s">
        <v>74</v>
      </c>
      <c r="P25" s="9" t="s">
        <v>64</v>
      </c>
      <c r="R25" s="9" t="s">
        <v>50</v>
      </c>
      <c r="T25" s="9">
        <v>77.0</v>
      </c>
      <c r="U25" s="9" t="s">
        <v>42</v>
      </c>
      <c r="V25" s="9" t="s">
        <v>43</v>
      </c>
      <c r="W25" s="9" t="s">
        <v>44</v>
      </c>
      <c r="Y25" s="9" t="s">
        <v>34</v>
      </c>
      <c r="Z25" s="7"/>
      <c r="AA25" s="7"/>
      <c r="AB25" s="7"/>
      <c r="AC25" s="7"/>
      <c r="AD25" s="7"/>
      <c r="AE25" s="7"/>
    </row>
    <row r="26" ht="22.5" customHeight="1">
      <c r="A26" s="8">
        <v>46165.60918856482</v>
      </c>
      <c r="B26" s="9">
        <v>265.0</v>
      </c>
      <c r="C26" s="9" t="s">
        <v>65</v>
      </c>
      <c r="D26" s="9" t="s">
        <v>32</v>
      </c>
      <c r="E26" s="9">
        <v>44.0</v>
      </c>
      <c r="F26" s="9" t="s">
        <v>33</v>
      </c>
      <c r="G26" s="9" t="s">
        <v>34</v>
      </c>
      <c r="H26" s="9" t="s">
        <v>60</v>
      </c>
      <c r="J26" s="9" t="s">
        <v>47</v>
      </c>
      <c r="K26" s="9" t="s">
        <v>37</v>
      </c>
      <c r="L26" s="9" t="s">
        <v>49</v>
      </c>
      <c r="N26" s="9" t="s">
        <v>50</v>
      </c>
      <c r="O26" s="9" t="s">
        <v>67</v>
      </c>
      <c r="P26" s="9" t="s">
        <v>77</v>
      </c>
      <c r="R26" s="9" t="s">
        <v>50</v>
      </c>
      <c r="T26" s="9">
        <v>77.0</v>
      </c>
      <c r="U26" s="9" t="s">
        <v>42</v>
      </c>
      <c r="V26" s="9" t="s">
        <v>43</v>
      </c>
      <c r="W26" s="9" t="s">
        <v>44</v>
      </c>
      <c r="Y26" s="9" t="s">
        <v>34</v>
      </c>
      <c r="Z26" s="7"/>
      <c r="AA26" s="7"/>
      <c r="AB26" s="7"/>
      <c r="AC26" s="7"/>
      <c r="AD26" s="7"/>
      <c r="AE26" s="7"/>
    </row>
    <row r="27" ht="22.5" customHeight="1">
      <c r="A27" s="8">
        <v>46165.61184817129</v>
      </c>
      <c r="B27" s="9">
        <v>265.0</v>
      </c>
      <c r="C27" s="9" t="s">
        <v>65</v>
      </c>
      <c r="D27" s="9" t="s">
        <v>32</v>
      </c>
      <c r="E27" s="9">
        <v>27.0</v>
      </c>
      <c r="F27" s="9" t="s">
        <v>55</v>
      </c>
      <c r="G27" s="9" t="s">
        <v>34</v>
      </c>
      <c r="H27" s="9" t="s">
        <v>60</v>
      </c>
      <c r="J27" s="9" t="s">
        <v>47</v>
      </c>
      <c r="K27" s="9" t="s">
        <v>37</v>
      </c>
      <c r="L27" s="9" t="s">
        <v>38</v>
      </c>
      <c r="N27" s="9" t="s">
        <v>39</v>
      </c>
      <c r="O27" s="9" t="s">
        <v>74</v>
      </c>
      <c r="P27" s="9" t="s">
        <v>41</v>
      </c>
      <c r="R27" s="9" t="s">
        <v>39</v>
      </c>
      <c r="T27" s="9">
        <v>70.0</v>
      </c>
      <c r="U27" s="9" t="s">
        <v>42</v>
      </c>
      <c r="V27" s="9" t="s">
        <v>62</v>
      </c>
      <c r="W27" s="9" t="s">
        <v>84</v>
      </c>
      <c r="Y27" s="9" t="s">
        <v>34</v>
      </c>
      <c r="Z27" s="7"/>
      <c r="AA27" s="7"/>
      <c r="AB27" s="7"/>
      <c r="AC27" s="7"/>
      <c r="AD27" s="7"/>
      <c r="AE27" s="7"/>
    </row>
    <row r="28" ht="22.5" customHeight="1">
      <c r="A28" s="8">
        <v>46165.6314800463</v>
      </c>
      <c r="B28" s="9">
        <v>265.0</v>
      </c>
      <c r="C28" s="9" t="s">
        <v>65</v>
      </c>
      <c r="D28" s="9" t="s">
        <v>32</v>
      </c>
      <c r="E28" s="9">
        <v>24.0</v>
      </c>
      <c r="F28" s="9" t="s">
        <v>55</v>
      </c>
      <c r="G28" s="9" t="s">
        <v>34</v>
      </c>
      <c r="H28" s="9" t="s">
        <v>66</v>
      </c>
      <c r="J28" s="9" t="s">
        <v>47</v>
      </c>
      <c r="K28" s="9" t="s">
        <v>85</v>
      </c>
      <c r="L28" s="9" t="s">
        <v>49</v>
      </c>
      <c r="N28" s="9" t="s">
        <v>86</v>
      </c>
      <c r="O28" s="9" t="s">
        <v>74</v>
      </c>
      <c r="P28" s="9" t="s">
        <v>77</v>
      </c>
      <c r="R28" s="9" t="s">
        <v>50</v>
      </c>
      <c r="T28" s="9">
        <v>85.0</v>
      </c>
      <c r="U28" s="9" t="s">
        <v>42</v>
      </c>
      <c r="V28" s="9" t="s">
        <v>43</v>
      </c>
      <c r="W28" s="9" t="s">
        <v>44</v>
      </c>
      <c r="Y28" s="9" t="s">
        <v>34</v>
      </c>
      <c r="Z28" s="7"/>
      <c r="AA28" s="7"/>
      <c r="AB28" s="7"/>
      <c r="AC28" s="7"/>
      <c r="AD28" s="7"/>
      <c r="AE28" s="7"/>
    </row>
    <row r="29" ht="22.5" customHeight="1">
      <c r="A29" s="8">
        <v>46165.633471863424</v>
      </c>
      <c r="B29" s="9">
        <v>265.0</v>
      </c>
      <c r="C29" s="9" t="s">
        <v>65</v>
      </c>
      <c r="D29" s="9" t="s">
        <v>32</v>
      </c>
      <c r="E29" s="9">
        <v>50.0</v>
      </c>
      <c r="F29" s="9" t="s">
        <v>33</v>
      </c>
      <c r="G29" s="9" t="s">
        <v>34</v>
      </c>
      <c r="H29" s="9" t="s">
        <v>87</v>
      </c>
      <c r="J29" s="9" t="s">
        <v>47</v>
      </c>
      <c r="K29" s="9" t="s">
        <v>37</v>
      </c>
      <c r="L29" s="9" t="s">
        <v>38</v>
      </c>
      <c r="N29" s="9" t="s">
        <v>39</v>
      </c>
      <c r="O29" s="9" t="s">
        <v>88</v>
      </c>
      <c r="P29" s="9" t="s">
        <v>52</v>
      </c>
      <c r="R29" s="9" t="s">
        <v>39</v>
      </c>
      <c r="T29" s="9">
        <v>85.0</v>
      </c>
      <c r="U29" s="9" t="s">
        <v>42</v>
      </c>
      <c r="V29" s="9" t="s">
        <v>62</v>
      </c>
      <c r="W29" s="9" t="s">
        <v>44</v>
      </c>
      <c r="Y29" s="9" t="s">
        <v>34</v>
      </c>
      <c r="Z29" s="7"/>
      <c r="AA29" s="7"/>
      <c r="AB29" s="7"/>
      <c r="AC29" s="7"/>
      <c r="AD29" s="7"/>
      <c r="AE29" s="7"/>
    </row>
    <row r="30" ht="22.5" customHeight="1">
      <c r="A30" s="8">
        <v>46165.63499511574</v>
      </c>
      <c r="B30" s="9">
        <v>265.0</v>
      </c>
      <c r="C30" s="9" t="s">
        <v>65</v>
      </c>
      <c r="D30" s="9" t="s">
        <v>32</v>
      </c>
      <c r="E30" s="9">
        <v>44.0</v>
      </c>
      <c r="F30" s="9" t="s">
        <v>55</v>
      </c>
      <c r="G30" s="9" t="s">
        <v>34</v>
      </c>
      <c r="H30" s="9" t="s">
        <v>60</v>
      </c>
      <c r="J30" s="9" t="s">
        <v>47</v>
      </c>
      <c r="K30" s="9" t="s">
        <v>48</v>
      </c>
      <c r="L30" s="9" t="s">
        <v>49</v>
      </c>
      <c r="N30" s="9" t="s">
        <v>50</v>
      </c>
      <c r="O30" s="9" t="s">
        <v>67</v>
      </c>
      <c r="P30" s="9" t="s">
        <v>77</v>
      </c>
      <c r="R30" s="9" t="s">
        <v>50</v>
      </c>
      <c r="T30" s="9">
        <v>70.0</v>
      </c>
      <c r="U30" s="9" t="s">
        <v>42</v>
      </c>
      <c r="V30" s="9" t="s">
        <v>43</v>
      </c>
      <c r="W30" s="9" t="s">
        <v>84</v>
      </c>
      <c r="Y30" s="9" t="s">
        <v>34</v>
      </c>
      <c r="Z30" s="7"/>
      <c r="AA30" s="7"/>
      <c r="AB30" s="7"/>
      <c r="AC30" s="7"/>
      <c r="AD30" s="7"/>
      <c r="AE30" s="7"/>
    </row>
    <row r="31" ht="22.5" customHeight="1">
      <c r="A31" s="8">
        <v>46165.63657112268</v>
      </c>
      <c r="B31" s="9">
        <v>265.0</v>
      </c>
      <c r="C31" s="9" t="s">
        <v>65</v>
      </c>
      <c r="D31" s="9" t="s">
        <v>83</v>
      </c>
      <c r="E31" s="9">
        <v>27.0</v>
      </c>
      <c r="F31" s="9" t="s">
        <v>55</v>
      </c>
      <c r="G31" s="9" t="s">
        <v>34</v>
      </c>
      <c r="H31" s="9" t="s">
        <v>60</v>
      </c>
      <c r="J31" s="9" t="s">
        <v>47</v>
      </c>
      <c r="K31" s="9" t="s">
        <v>37</v>
      </c>
      <c r="L31" s="9" t="s">
        <v>49</v>
      </c>
      <c r="N31" s="9" t="s">
        <v>50</v>
      </c>
      <c r="O31" s="9" t="s">
        <v>67</v>
      </c>
      <c r="P31" s="9" t="s">
        <v>64</v>
      </c>
      <c r="R31" s="9" t="s">
        <v>50</v>
      </c>
      <c r="T31" s="9">
        <v>70.0</v>
      </c>
      <c r="U31" s="9" t="s">
        <v>42</v>
      </c>
      <c r="V31" s="9" t="s">
        <v>43</v>
      </c>
      <c r="W31" s="9" t="s">
        <v>84</v>
      </c>
      <c r="Y31" s="9" t="s">
        <v>34</v>
      </c>
      <c r="Z31" s="7"/>
      <c r="AA31" s="7"/>
      <c r="AB31" s="7"/>
      <c r="AC31" s="7"/>
      <c r="AD31" s="7"/>
      <c r="AE31" s="7"/>
    </row>
    <row r="32" ht="22.5" customHeight="1">
      <c r="A32" s="8">
        <v>46165.63829965278</v>
      </c>
      <c r="B32" s="9">
        <v>265.0</v>
      </c>
      <c r="C32" s="9" t="s">
        <v>65</v>
      </c>
      <c r="D32" s="9" t="s">
        <v>32</v>
      </c>
      <c r="E32" s="9">
        <v>55.0</v>
      </c>
      <c r="F32" s="9" t="s">
        <v>33</v>
      </c>
      <c r="G32" s="9" t="s">
        <v>34</v>
      </c>
      <c r="H32" s="9" t="s">
        <v>87</v>
      </c>
      <c r="J32" s="9" t="s">
        <v>47</v>
      </c>
      <c r="K32" s="9" t="s">
        <v>48</v>
      </c>
      <c r="L32" s="9" t="s">
        <v>49</v>
      </c>
      <c r="N32" s="9" t="s">
        <v>50</v>
      </c>
      <c r="O32" s="9" t="s">
        <v>89</v>
      </c>
      <c r="P32" s="9" t="s">
        <v>64</v>
      </c>
      <c r="R32" s="9" t="s">
        <v>50</v>
      </c>
      <c r="T32" s="9">
        <v>85.0</v>
      </c>
      <c r="U32" s="9" t="s">
        <v>42</v>
      </c>
      <c r="V32" s="9" t="s">
        <v>43</v>
      </c>
      <c r="W32" s="9" t="s">
        <v>44</v>
      </c>
      <c r="Y32" s="9" t="s">
        <v>34</v>
      </c>
      <c r="Z32" s="7"/>
      <c r="AA32" s="7"/>
      <c r="AB32" s="7"/>
      <c r="AC32" s="7"/>
      <c r="AD32" s="7"/>
      <c r="AE32" s="7"/>
    </row>
    <row r="33" ht="22.5" customHeight="1">
      <c r="A33" s="8">
        <v>46165.65000283565</v>
      </c>
      <c r="B33" s="9">
        <v>265.0</v>
      </c>
      <c r="C33" s="9" t="s">
        <v>65</v>
      </c>
      <c r="D33" s="9" t="s">
        <v>32</v>
      </c>
      <c r="E33" s="9">
        <v>55.0</v>
      </c>
      <c r="F33" s="9" t="s">
        <v>33</v>
      </c>
      <c r="G33" s="9" t="s">
        <v>34</v>
      </c>
      <c r="H33" s="9" t="s">
        <v>60</v>
      </c>
      <c r="J33" s="9" t="s">
        <v>47</v>
      </c>
      <c r="K33" s="9" t="s">
        <v>37</v>
      </c>
      <c r="L33" s="9" t="s">
        <v>49</v>
      </c>
      <c r="N33" s="9" t="s">
        <v>50</v>
      </c>
      <c r="O33" s="9" t="s">
        <v>67</v>
      </c>
      <c r="P33" s="9" t="s">
        <v>77</v>
      </c>
      <c r="R33" s="9" t="s">
        <v>50</v>
      </c>
      <c r="T33" s="9">
        <v>60.0</v>
      </c>
      <c r="U33" s="9" t="s">
        <v>42</v>
      </c>
      <c r="V33" s="9" t="s">
        <v>43</v>
      </c>
      <c r="W33" s="9" t="s">
        <v>71</v>
      </c>
      <c r="Y33" s="9" t="s">
        <v>34</v>
      </c>
      <c r="Z33" s="7"/>
      <c r="AA33" s="7"/>
      <c r="AB33" s="7"/>
      <c r="AC33" s="7"/>
      <c r="AD33" s="7"/>
      <c r="AE33" s="7"/>
    </row>
    <row r="34" ht="22.5" customHeight="1">
      <c r="A34" s="8">
        <v>46165.65136045139</v>
      </c>
      <c r="B34" s="9">
        <v>265.0</v>
      </c>
      <c r="C34" s="9" t="s">
        <v>65</v>
      </c>
      <c r="D34" s="9" t="s">
        <v>32</v>
      </c>
      <c r="E34" s="9">
        <v>38.0</v>
      </c>
      <c r="F34" s="9" t="s">
        <v>55</v>
      </c>
      <c r="G34" s="9" t="s">
        <v>34</v>
      </c>
      <c r="H34" s="9" t="s">
        <v>87</v>
      </c>
      <c r="J34" s="9" t="s">
        <v>47</v>
      </c>
      <c r="K34" s="9" t="s">
        <v>48</v>
      </c>
      <c r="L34" s="9" t="s">
        <v>49</v>
      </c>
      <c r="N34" s="9" t="s">
        <v>50</v>
      </c>
      <c r="O34" s="9" t="s">
        <v>74</v>
      </c>
      <c r="P34" s="9" t="s">
        <v>77</v>
      </c>
      <c r="R34" s="9" t="s">
        <v>50</v>
      </c>
      <c r="T34" s="9">
        <v>85.0</v>
      </c>
      <c r="U34" s="9" t="s">
        <v>42</v>
      </c>
      <c r="V34" s="9" t="s">
        <v>62</v>
      </c>
      <c r="W34" s="9" t="s">
        <v>44</v>
      </c>
      <c r="Y34" s="9" t="s">
        <v>34</v>
      </c>
      <c r="Z34" s="7"/>
      <c r="AA34" s="7"/>
      <c r="AB34" s="7"/>
      <c r="AC34" s="7"/>
      <c r="AD34" s="7"/>
      <c r="AE34" s="7"/>
    </row>
    <row r="35" ht="22.5" customHeight="1">
      <c r="A35" s="8">
        <v>46165.65509486111</v>
      </c>
      <c r="B35" s="9">
        <v>265.0</v>
      </c>
      <c r="C35" s="9" t="s">
        <v>69</v>
      </c>
      <c r="D35" s="9" t="s">
        <v>32</v>
      </c>
      <c r="E35" s="9">
        <v>39.0</v>
      </c>
      <c r="F35" s="9" t="s">
        <v>33</v>
      </c>
      <c r="G35" s="9" t="s">
        <v>34</v>
      </c>
      <c r="H35" s="9" t="s">
        <v>60</v>
      </c>
      <c r="J35" s="9" t="s">
        <v>47</v>
      </c>
      <c r="K35" s="9" t="s">
        <v>48</v>
      </c>
      <c r="L35" s="9" t="s">
        <v>49</v>
      </c>
      <c r="N35" s="9" t="s">
        <v>50</v>
      </c>
      <c r="O35" s="9" t="s">
        <v>67</v>
      </c>
      <c r="P35" s="9" t="s">
        <v>77</v>
      </c>
      <c r="R35" s="9" t="s">
        <v>50</v>
      </c>
      <c r="T35" s="9">
        <v>120.0</v>
      </c>
      <c r="U35" s="9" t="s">
        <v>42</v>
      </c>
      <c r="V35" s="9" t="s">
        <v>43</v>
      </c>
      <c r="W35" s="9" t="s">
        <v>44</v>
      </c>
      <c r="Y35" s="9" t="s">
        <v>34</v>
      </c>
      <c r="Z35" s="7"/>
      <c r="AA35" s="7"/>
      <c r="AB35" s="7"/>
      <c r="AC35" s="7"/>
      <c r="AD35" s="7"/>
      <c r="AE35" s="7"/>
    </row>
    <row r="36" ht="22.5" customHeight="1">
      <c r="A36" s="8">
        <v>46165.656298449074</v>
      </c>
      <c r="B36" s="9">
        <v>265.0</v>
      </c>
      <c r="C36" s="9" t="s">
        <v>69</v>
      </c>
      <c r="D36" s="9" t="s">
        <v>32</v>
      </c>
      <c r="E36" s="9">
        <v>46.0</v>
      </c>
      <c r="F36" s="9" t="s">
        <v>55</v>
      </c>
      <c r="G36" s="9" t="s">
        <v>34</v>
      </c>
      <c r="H36" s="9" t="s">
        <v>66</v>
      </c>
      <c r="J36" s="9" t="s">
        <v>47</v>
      </c>
      <c r="K36" s="9" t="s">
        <v>37</v>
      </c>
      <c r="L36" s="9" t="s">
        <v>49</v>
      </c>
      <c r="N36" s="9" t="s">
        <v>50</v>
      </c>
      <c r="O36" s="9" t="s">
        <v>67</v>
      </c>
      <c r="P36" s="9" t="s">
        <v>64</v>
      </c>
      <c r="R36" s="9" t="s">
        <v>50</v>
      </c>
      <c r="T36" s="9">
        <v>700000.0</v>
      </c>
      <c r="U36" s="9" t="s">
        <v>70</v>
      </c>
      <c r="V36" s="9" t="s">
        <v>43</v>
      </c>
      <c r="W36" s="9" t="s">
        <v>71</v>
      </c>
      <c r="Y36" s="9" t="s">
        <v>34</v>
      </c>
      <c r="Z36" s="7"/>
      <c r="AA36" s="7"/>
      <c r="AB36" s="7"/>
      <c r="AC36" s="7"/>
      <c r="AD36" s="7"/>
      <c r="AE36" s="7"/>
    </row>
    <row r="37" ht="22.5" customHeight="1">
      <c r="A37" s="8">
        <v>46165.657682233796</v>
      </c>
      <c r="B37" s="9">
        <v>265.0</v>
      </c>
      <c r="C37" s="9" t="s">
        <v>69</v>
      </c>
      <c r="D37" s="9" t="s">
        <v>32</v>
      </c>
      <c r="E37" s="9">
        <v>47.0</v>
      </c>
      <c r="F37" s="9" t="s">
        <v>55</v>
      </c>
      <c r="G37" s="9" t="s">
        <v>34</v>
      </c>
      <c r="H37" s="9" t="s">
        <v>66</v>
      </c>
      <c r="J37" s="9" t="s">
        <v>47</v>
      </c>
      <c r="K37" s="9" t="s">
        <v>48</v>
      </c>
      <c r="L37" s="9" t="s">
        <v>49</v>
      </c>
      <c r="N37" s="9" t="s">
        <v>50</v>
      </c>
      <c r="O37" s="9" t="s">
        <v>67</v>
      </c>
      <c r="P37" s="9" t="s">
        <v>77</v>
      </c>
      <c r="R37" s="9" t="s">
        <v>50</v>
      </c>
      <c r="T37" s="9">
        <v>700000.0</v>
      </c>
      <c r="U37" s="9" t="s">
        <v>70</v>
      </c>
      <c r="V37" s="9" t="s">
        <v>62</v>
      </c>
      <c r="W37" s="9" t="s">
        <v>71</v>
      </c>
      <c r="Y37" s="9" t="s">
        <v>34</v>
      </c>
      <c r="Z37" s="7"/>
      <c r="AA37" s="7"/>
      <c r="AB37" s="7"/>
      <c r="AC37" s="7"/>
      <c r="AD37" s="7"/>
      <c r="AE37" s="7"/>
    </row>
    <row r="38" ht="22.5" customHeight="1">
      <c r="A38" s="8">
        <v>46167.46559244213</v>
      </c>
      <c r="B38" s="9">
        <v>602.0</v>
      </c>
      <c r="C38" s="9" t="s">
        <v>45</v>
      </c>
      <c r="D38" s="9" t="s">
        <v>32</v>
      </c>
      <c r="E38" s="9">
        <v>43.0</v>
      </c>
      <c r="F38" s="9" t="s">
        <v>55</v>
      </c>
      <c r="G38" s="9" t="s">
        <v>34</v>
      </c>
      <c r="H38" s="9" t="s">
        <v>46</v>
      </c>
      <c r="J38" s="9" t="s">
        <v>79</v>
      </c>
      <c r="K38" s="9" t="s">
        <v>90</v>
      </c>
      <c r="L38" s="9" t="s">
        <v>49</v>
      </c>
      <c r="N38" s="9" t="s">
        <v>50</v>
      </c>
      <c r="O38" s="9" t="s">
        <v>91</v>
      </c>
      <c r="P38" s="9" t="s">
        <v>64</v>
      </c>
      <c r="R38" s="9" t="s">
        <v>50</v>
      </c>
      <c r="T38" s="9">
        <v>83.0</v>
      </c>
      <c r="U38" s="9" t="s">
        <v>42</v>
      </c>
      <c r="V38" s="9" t="s">
        <v>43</v>
      </c>
      <c r="W38" s="9" t="s">
        <v>44</v>
      </c>
      <c r="Y38" s="9" t="s">
        <v>34</v>
      </c>
      <c r="Z38" s="7"/>
      <c r="AA38" s="7"/>
      <c r="AB38" s="7"/>
      <c r="AC38" s="7"/>
      <c r="AD38" s="7"/>
      <c r="AE38" s="7"/>
    </row>
    <row r="39" ht="22.5" customHeight="1">
      <c r="A39" s="8">
        <v>46167.512120266205</v>
      </c>
      <c r="B39" s="9">
        <v>148.0</v>
      </c>
      <c r="C39" s="9" t="s">
        <v>92</v>
      </c>
      <c r="D39" s="9" t="s">
        <v>32</v>
      </c>
      <c r="E39" s="9">
        <v>38.0</v>
      </c>
      <c r="F39" s="9" t="s">
        <v>33</v>
      </c>
      <c r="G39" s="9" t="s">
        <v>34</v>
      </c>
      <c r="H39" s="9" t="s">
        <v>46</v>
      </c>
      <c r="J39" s="9" t="s">
        <v>36</v>
      </c>
      <c r="K39" s="9" t="s">
        <v>56</v>
      </c>
      <c r="L39" s="9" t="s">
        <v>38</v>
      </c>
      <c r="N39" s="9" t="s">
        <v>39</v>
      </c>
      <c r="O39" s="9" t="s">
        <v>40</v>
      </c>
      <c r="P39" s="9" t="s">
        <v>52</v>
      </c>
      <c r="R39" s="9" t="s">
        <v>39</v>
      </c>
      <c r="T39" s="9">
        <v>85.0</v>
      </c>
      <c r="U39" s="9" t="s">
        <v>42</v>
      </c>
      <c r="V39" s="9" t="s">
        <v>43</v>
      </c>
      <c r="W39" s="9" t="s">
        <v>44</v>
      </c>
      <c r="Y39" s="9" t="s">
        <v>34</v>
      </c>
      <c r="Z39" s="7"/>
      <c r="AA39" s="7"/>
      <c r="AB39" s="7"/>
      <c r="AC39" s="7"/>
      <c r="AD39" s="7"/>
      <c r="AE39" s="7"/>
    </row>
    <row r="40" ht="22.5" customHeight="1">
      <c r="A40" s="8">
        <v>46167.512968125</v>
      </c>
      <c r="B40" s="9">
        <v>148.0</v>
      </c>
      <c r="C40" s="9" t="s">
        <v>92</v>
      </c>
      <c r="D40" s="9" t="s">
        <v>32</v>
      </c>
      <c r="F40" s="9" t="s">
        <v>55</v>
      </c>
      <c r="G40" s="9" t="s">
        <v>34</v>
      </c>
      <c r="H40" s="9" t="s">
        <v>46</v>
      </c>
      <c r="J40" s="9" t="s">
        <v>47</v>
      </c>
      <c r="K40" s="9" t="s">
        <v>37</v>
      </c>
      <c r="L40" s="9" t="s">
        <v>38</v>
      </c>
      <c r="N40" s="9" t="s">
        <v>39</v>
      </c>
      <c r="O40" s="9" t="s">
        <v>63</v>
      </c>
      <c r="P40" s="9" t="s">
        <v>41</v>
      </c>
      <c r="R40" s="9" t="s">
        <v>39</v>
      </c>
      <c r="T40" s="9">
        <v>85.0</v>
      </c>
      <c r="U40" s="9" t="s">
        <v>42</v>
      </c>
      <c r="V40" s="9" t="s">
        <v>43</v>
      </c>
      <c r="W40" s="9" t="s">
        <v>44</v>
      </c>
      <c r="Y40" s="9" t="s">
        <v>34</v>
      </c>
      <c r="Z40" s="7"/>
      <c r="AA40" s="7"/>
      <c r="AB40" s="7"/>
      <c r="AC40" s="7"/>
      <c r="AD40" s="7"/>
      <c r="AE40" s="7"/>
    </row>
    <row r="41" ht="22.5" customHeight="1">
      <c r="A41" s="8">
        <v>46167.514420555555</v>
      </c>
      <c r="B41" s="9">
        <v>148.0</v>
      </c>
      <c r="C41" s="9" t="s">
        <v>92</v>
      </c>
      <c r="D41" s="9" t="s">
        <v>32</v>
      </c>
      <c r="F41" s="9" t="s">
        <v>33</v>
      </c>
      <c r="G41" s="9" t="s">
        <v>34</v>
      </c>
      <c r="H41" s="9" t="s">
        <v>60</v>
      </c>
      <c r="J41" s="9" t="s">
        <v>93</v>
      </c>
      <c r="K41" s="9" t="s">
        <v>37</v>
      </c>
      <c r="L41" s="9" t="s">
        <v>38</v>
      </c>
      <c r="N41" s="9" t="s">
        <v>39</v>
      </c>
      <c r="O41" s="9" t="s">
        <v>94</v>
      </c>
      <c r="P41" s="9" t="s">
        <v>41</v>
      </c>
      <c r="R41" s="9" t="s">
        <v>39</v>
      </c>
      <c r="T41" s="9">
        <v>75.0</v>
      </c>
      <c r="U41" s="9" t="s">
        <v>42</v>
      </c>
      <c r="V41" s="9" t="s">
        <v>43</v>
      </c>
      <c r="W41" s="9" t="s">
        <v>44</v>
      </c>
      <c r="Y41" s="9" t="s">
        <v>34</v>
      </c>
      <c r="Z41" s="7"/>
      <c r="AA41" s="7"/>
      <c r="AB41" s="7"/>
      <c r="AC41" s="7"/>
      <c r="AD41" s="7"/>
      <c r="AE41" s="7"/>
    </row>
    <row r="42" ht="22.5" customHeight="1">
      <c r="A42" s="8">
        <v>46167.51652372685</v>
      </c>
      <c r="B42" s="9">
        <v>148.0</v>
      </c>
      <c r="C42" s="9" t="s">
        <v>92</v>
      </c>
      <c r="D42" s="9" t="s">
        <v>32</v>
      </c>
      <c r="E42" s="9">
        <v>32.0</v>
      </c>
      <c r="F42" s="9" t="s">
        <v>55</v>
      </c>
      <c r="G42" s="9" t="s">
        <v>34</v>
      </c>
      <c r="H42" s="9" t="s">
        <v>60</v>
      </c>
      <c r="J42" s="9" t="s">
        <v>47</v>
      </c>
      <c r="K42" s="9" t="s">
        <v>56</v>
      </c>
      <c r="L42" s="9" t="s">
        <v>49</v>
      </c>
      <c r="N42" s="9" t="s">
        <v>39</v>
      </c>
      <c r="O42" s="9" t="s">
        <v>63</v>
      </c>
      <c r="P42" s="9" t="s">
        <v>41</v>
      </c>
      <c r="R42" s="9" t="s">
        <v>50</v>
      </c>
      <c r="T42" s="9">
        <v>75.0</v>
      </c>
      <c r="U42" s="9" t="s">
        <v>42</v>
      </c>
      <c r="V42" s="9" t="s">
        <v>62</v>
      </c>
      <c r="W42" s="9" t="s">
        <v>44</v>
      </c>
      <c r="Y42" s="9" t="s">
        <v>34</v>
      </c>
      <c r="Z42" s="7"/>
      <c r="AA42" s="7"/>
      <c r="AB42" s="7"/>
      <c r="AC42" s="7"/>
      <c r="AD42" s="7"/>
      <c r="AE42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75"/>
  </cols>
  <sheetData>
    <row r="1">
      <c r="A1" s="10" t="s">
        <v>95</v>
      </c>
      <c r="B1" s="10" t="s">
        <v>7</v>
      </c>
      <c r="C1" s="10"/>
      <c r="D1" s="10"/>
      <c r="E1" s="10"/>
      <c r="F1" s="10"/>
      <c r="G1" s="10"/>
    </row>
    <row r="2">
      <c r="A2" s="10" t="s">
        <v>2</v>
      </c>
      <c r="B2" s="10" t="s">
        <v>87</v>
      </c>
      <c r="C2" s="10" t="s">
        <v>60</v>
      </c>
      <c r="D2" s="10" t="s">
        <v>46</v>
      </c>
      <c r="E2" s="10" t="s">
        <v>66</v>
      </c>
      <c r="F2" s="10" t="s">
        <v>35</v>
      </c>
      <c r="G2" s="10" t="s">
        <v>96</v>
      </c>
    </row>
    <row r="3">
      <c r="A3" s="10" t="s">
        <v>45</v>
      </c>
      <c r="B3" s="10"/>
      <c r="C3" s="10"/>
      <c r="D3" s="10">
        <v>4.0</v>
      </c>
      <c r="E3" s="10"/>
      <c r="F3" s="10"/>
      <c r="G3" s="10">
        <v>4.0</v>
      </c>
    </row>
    <row r="4">
      <c r="A4" s="10" t="s">
        <v>65</v>
      </c>
      <c r="B4" s="10">
        <v>3.0</v>
      </c>
      <c r="C4" s="10">
        <v>8.0</v>
      </c>
      <c r="D4" s="10"/>
      <c r="E4" s="10">
        <v>3.0</v>
      </c>
      <c r="F4" s="10"/>
      <c r="G4" s="10">
        <v>14.0</v>
      </c>
    </row>
    <row r="5">
      <c r="A5" s="10" t="s">
        <v>69</v>
      </c>
      <c r="B5" s="10"/>
      <c r="C5" s="10">
        <v>5.0</v>
      </c>
      <c r="D5" s="10">
        <v>3.0</v>
      </c>
      <c r="E5" s="10">
        <v>3.0</v>
      </c>
      <c r="F5" s="10"/>
      <c r="G5" s="10">
        <v>11.0</v>
      </c>
    </row>
    <row r="6">
      <c r="A6" s="10" t="s">
        <v>31</v>
      </c>
      <c r="B6" s="10"/>
      <c r="C6" s="10">
        <v>2.0</v>
      </c>
      <c r="D6" s="10"/>
      <c r="E6" s="10"/>
      <c r="F6" s="10">
        <v>2.0</v>
      </c>
      <c r="G6" s="10">
        <v>4.0</v>
      </c>
    </row>
    <row r="7">
      <c r="A7" s="10" t="s">
        <v>92</v>
      </c>
      <c r="B7" s="10"/>
      <c r="C7" s="10">
        <v>2.0</v>
      </c>
      <c r="D7" s="10">
        <v>2.0</v>
      </c>
      <c r="E7" s="10"/>
      <c r="F7" s="10"/>
      <c r="G7" s="10">
        <v>4.0</v>
      </c>
    </row>
    <row r="8">
      <c r="A8" s="10" t="s">
        <v>72</v>
      </c>
      <c r="B8" s="10"/>
      <c r="C8" s="10"/>
      <c r="D8" s="10">
        <v>2.0</v>
      </c>
      <c r="E8" s="10">
        <v>1.0</v>
      </c>
      <c r="F8" s="10">
        <v>1.0</v>
      </c>
      <c r="G8" s="10">
        <v>4.0</v>
      </c>
    </row>
    <row r="9">
      <c r="A9" s="10" t="s">
        <v>96</v>
      </c>
      <c r="B9" s="10">
        <v>3.0</v>
      </c>
      <c r="C9" s="10">
        <v>17.0</v>
      </c>
      <c r="D9" s="10">
        <v>11.0</v>
      </c>
      <c r="E9" s="10">
        <v>7.0</v>
      </c>
      <c r="F9" s="10">
        <v>3.0</v>
      </c>
      <c r="G9" s="10">
        <v>41.0</v>
      </c>
    </row>
    <row r="11"/>
    <row r="12"/>
    <row r="13"/>
    <row r="14"/>
    <row r="15"/>
    <row r="16"/>
    <row r="17"/>
    <row r="18"/>
    <row r="22"/>
    <row r="23"/>
    <row r="24"/>
    <row r="25"/>
    <row r="26"/>
    <row r="27"/>
    <row r="28"/>
    <row r="29"/>
    <row r="34"/>
    <row r="35"/>
    <row r="36"/>
    <row r="37"/>
    <row r="38"/>
    <row r="39"/>
    <row r="40"/>
    <row r="41"/>
    <row r="42"/>
    <row r="44">
      <c r="A44" s="10" t="s">
        <v>98</v>
      </c>
      <c r="B44" s="10" t="s">
        <v>20</v>
      </c>
      <c r="C44" s="10"/>
      <c r="D44" s="10"/>
    </row>
    <row r="45">
      <c r="A45" s="10" t="s">
        <v>7</v>
      </c>
      <c r="B45" s="10" t="s">
        <v>42</v>
      </c>
      <c r="C45" s="10" t="s">
        <v>70</v>
      </c>
      <c r="D45" s="10" t="s">
        <v>53</v>
      </c>
    </row>
    <row r="46">
      <c r="A46" s="10" t="s">
        <v>87</v>
      </c>
      <c r="B46" s="10">
        <v>85.0</v>
      </c>
      <c r="C46" s="10"/>
      <c r="D46" s="10"/>
    </row>
    <row r="47">
      <c r="A47" s="10" t="s">
        <v>60</v>
      </c>
      <c r="B47" s="10">
        <v>75.0</v>
      </c>
      <c r="C47" s="10">
        <v>1130000.0</v>
      </c>
      <c r="D47" s="10"/>
    </row>
    <row r="48">
      <c r="A48" s="10" t="s">
        <v>46</v>
      </c>
      <c r="B48" s="10">
        <v>85.0</v>
      </c>
      <c r="C48" s="10">
        <v>900000.0</v>
      </c>
      <c r="D48" s="10">
        <v>397.5</v>
      </c>
    </row>
    <row r="49">
      <c r="A49" s="10" t="s">
        <v>66</v>
      </c>
      <c r="B49" s="10">
        <v>81.0</v>
      </c>
      <c r="C49" s="10">
        <v>700000.0</v>
      </c>
      <c r="D49" s="10">
        <v>310.0</v>
      </c>
    </row>
    <row r="50">
      <c r="A50" s="10" t="s">
        <v>35</v>
      </c>
      <c r="B50" s="10">
        <v>87.0</v>
      </c>
      <c r="C50" s="10"/>
      <c r="D50" s="10">
        <v>420.0</v>
      </c>
    </row>
    <row r="51">
      <c r="A51" s="10" t="s">
        <v>96</v>
      </c>
      <c r="B51" s="10">
        <v>81.0</v>
      </c>
      <c r="C51" s="10">
        <v>850000.0</v>
      </c>
      <c r="D51" s="10">
        <v>395.0</v>
      </c>
    </row>
    <row r="55">
      <c r="A55" s="10" t="s">
        <v>98</v>
      </c>
      <c r="B55" s="10" t="s">
        <v>7</v>
      </c>
      <c r="C55" s="10" t="s">
        <v>20</v>
      </c>
      <c r="D55" s="10"/>
      <c r="E55" s="10"/>
      <c r="F55" s="10"/>
      <c r="G55" s="10"/>
      <c r="H55" s="10"/>
      <c r="I55" s="10"/>
      <c r="J55" s="10"/>
      <c r="K55" s="10"/>
      <c r="L55" s="10"/>
    </row>
    <row r="56">
      <c r="A56" s="10"/>
      <c r="B56" s="10" t="s">
        <v>87</v>
      </c>
      <c r="C56" s="10" t="s">
        <v>60</v>
      </c>
      <c r="D56" s="10"/>
      <c r="E56" s="10" t="s">
        <v>46</v>
      </c>
      <c r="F56" s="10"/>
      <c r="G56" s="10"/>
      <c r="H56" s="10" t="s">
        <v>66</v>
      </c>
      <c r="I56" s="10"/>
      <c r="J56" s="10"/>
      <c r="K56" s="10" t="s">
        <v>35</v>
      </c>
      <c r="L56" s="10"/>
    </row>
    <row r="57">
      <c r="A57" s="10" t="s">
        <v>2</v>
      </c>
      <c r="B57" s="10" t="s">
        <v>42</v>
      </c>
      <c r="C57" s="10" t="s">
        <v>42</v>
      </c>
      <c r="D57" s="10" t="s">
        <v>70</v>
      </c>
      <c r="E57" s="10" t="s">
        <v>42</v>
      </c>
      <c r="F57" s="10" t="s">
        <v>70</v>
      </c>
      <c r="G57" s="10" t="s">
        <v>53</v>
      </c>
      <c r="H57" s="10" t="s">
        <v>42</v>
      </c>
      <c r="I57" s="10" t="s">
        <v>70</v>
      </c>
      <c r="J57" s="10" t="s">
        <v>53</v>
      </c>
      <c r="K57" s="10" t="s">
        <v>42</v>
      </c>
      <c r="L57" s="10" t="s">
        <v>53</v>
      </c>
    </row>
    <row r="58">
      <c r="A58" s="10" t="s">
        <v>45</v>
      </c>
      <c r="B58" s="10"/>
      <c r="C58" s="10"/>
      <c r="D58" s="10"/>
      <c r="E58" s="10">
        <v>83.0</v>
      </c>
      <c r="F58" s="10"/>
      <c r="G58" s="10">
        <v>425.0</v>
      </c>
      <c r="H58" s="10"/>
      <c r="I58" s="10"/>
      <c r="J58" s="10"/>
      <c r="K58" s="10"/>
      <c r="L58" s="10"/>
    </row>
    <row r="59">
      <c r="A59" s="10" t="s">
        <v>65</v>
      </c>
      <c r="B59" s="10">
        <v>85.0</v>
      </c>
      <c r="C59" s="10">
        <v>70.0</v>
      </c>
      <c r="D59" s="10"/>
      <c r="E59" s="10"/>
      <c r="F59" s="10"/>
      <c r="G59" s="10"/>
      <c r="H59" s="10">
        <v>81.0</v>
      </c>
      <c r="I59" s="10"/>
      <c r="J59" s="10"/>
      <c r="K59" s="10"/>
      <c r="L59" s="10"/>
    </row>
    <row r="60">
      <c r="A60" s="10" t="s">
        <v>69</v>
      </c>
      <c r="B60" s="10"/>
      <c r="C60" s="10">
        <v>120.0</v>
      </c>
      <c r="D60" s="10">
        <v>1130000.0</v>
      </c>
      <c r="E60" s="10"/>
      <c r="F60" s="10">
        <v>900000.0</v>
      </c>
      <c r="G60" s="10"/>
      <c r="H60" s="10"/>
      <c r="I60" s="10">
        <v>700000.0</v>
      </c>
      <c r="J60" s="10"/>
      <c r="K60" s="10"/>
      <c r="L60" s="10"/>
    </row>
    <row r="61">
      <c r="A61" s="10" t="s">
        <v>31</v>
      </c>
      <c r="B61" s="10"/>
      <c r="C61" s="10">
        <v>77.0</v>
      </c>
      <c r="D61" s="10"/>
      <c r="E61" s="10"/>
      <c r="F61" s="10"/>
      <c r="G61" s="10"/>
      <c r="H61" s="10"/>
      <c r="I61" s="10"/>
      <c r="J61" s="10"/>
      <c r="K61" s="10">
        <v>85.0</v>
      </c>
      <c r="L61" s="10">
        <v>420.0</v>
      </c>
    </row>
    <row r="62">
      <c r="A62" s="10" t="s">
        <v>92</v>
      </c>
      <c r="B62" s="10"/>
      <c r="C62" s="10">
        <v>75.0</v>
      </c>
      <c r="D62" s="10"/>
      <c r="E62" s="10">
        <v>85.0</v>
      </c>
      <c r="F62" s="10"/>
      <c r="G62" s="10"/>
      <c r="H62" s="10"/>
      <c r="I62" s="10"/>
      <c r="J62" s="10"/>
      <c r="K62" s="10"/>
      <c r="L62" s="10"/>
    </row>
    <row r="63">
      <c r="A63" s="10" t="s">
        <v>72</v>
      </c>
      <c r="B63" s="10"/>
      <c r="C63" s="10"/>
      <c r="D63" s="10"/>
      <c r="E63" s="10">
        <v>87.0</v>
      </c>
      <c r="F63" s="10"/>
      <c r="G63" s="10">
        <v>370.0</v>
      </c>
      <c r="H63" s="10"/>
      <c r="I63" s="10"/>
      <c r="J63" s="10">
        <v>310.0</v>
      </c>
      <c r="K63" s="10">
        <v>89.0</v>
      </c>
      <c r="L63" s="10"/>
    </row>
    <row r="64">
      <c r="A64" s="10" t="s">
        <v>96</v>
      </c>
      <c r="B64" s="10">
        <v>85.0</v>
      </c>
      <c r="C64" s="10">
        <v>75.0</v>
      </c>
      <c r="D64" s="10">
        <v>1130000.0</v>
      </c>
      <c r="E64" s="10">
        <v>85.0</v>
      </c>
      <c r="F64" s="10">
        <v>900000.0</v>
      </c>
      <c r="G64" s="10">
        <v>397.5</v>
      </c>
      <c r="H64" s="10">
        <v>81.0</v>
      </c>
      <c r="I64" s="10">
        <v>700000.0</v>
      </c>
      <c r="J64" s="10">
        <v>310.0</v>
      </c>
      <c r="K64" s="10">
        <v>87.0</v>
      </c>
      <c r="L64" s="10">
        <v>420.0</v>
      </c>
    </row>
    <row r="66"/>
    <row r="67"/>
    <row r="68"/>
    <row r="69"/>
    <row r="70"/>
    <row r="71"/>
    <row r="72"/>
    <row r="73"/>
    <row r="77"/>
    <row r="78"/>
    <row r="79"/>
    <row r="80"/>
    <row r="81"/>
    <row r="82"/>
    <row r="83"/>
    <row r="84"/>
    <row r="85"/>
    <row r="86">
      <c r="A86" s="10" t="s">
        <v>98</v>
      </c>
      <c r="B86" s="10" t="s">
        <v>22</v>
      </c>
      <c r="C86" s="10" t="s">
        <v>20</v>
      </c>
      <c r="D86" s="10"/>
      <c r="E86" s="10"/>
      <c r="F86" s="10"/>
      <c r="G86" s="10"/>
      <c r="H86" s="10"/>
      <c r="I86" s="10"/>
      <c r="J86" s="10"/>
    </row>
    <row r="87">
      <c r="A87" s="10"/>
      <c r="B87" s="10" t="s">
        <v>84</v>
      </c>
      <c r="C87" s="10" t="s">
        <v>75</v>
      </c>
      <c r="D87" s="10" t="s">
        <v>44</v>
      </c>
      <c r="E87" s="10"/>
      <c r="F87" s="10"/>
      <c r="G87" s="10" t="s">
        <v>73</v>
      </c>
      <c r="H87" s="10" t="s">
        <v>71</v>
      </c>
      <c r="I87" s="10"/>
      <c r="J87" s="10" t="s">
        <v>80</v>
      </c>
    </row>
    <row r="88">
      <c r="A88" s="10" t="s">
        <v>7</v>
      </c>
      <c r="B88" s="10" t="s">
        <v>42</v>
      </c>
      <c r="C88" s="10" t="s">
        <v>70</v>
      </c>
      <c r="D88" s="10" t="s">
        <v>42</v>
      </c>
      <c r="E88" s="10" t="s">
        <v>70</v>
      </c>
      <c r="F88" s="10" t="s">
        <v>53</v>
      </c>
      <c r="G88" s="10" t="s">
        <v>53</v>
      </c>
      <c r="H88" s="10" t="s">
        <v>42</v>
      </c>
      <c r="I88" s="10" t="s">
        <v>70</v>
      </c>
      <c r="J88" s="10" t="s">
        <v>70</v>
      </c>
    </row>
    <row r="89">
      <c r="A89" s="10" t="s">
        <v>87</v>
      </c>
      <c r="B89" s="10"/>
      <c r="C89" s="10"/>
      <c r="D89" s="10">
        <v>85.0</v>
      </c>
      <c r="E89" s="10"/>
      <c r="F89" s="10"/>
      <c r="G89" s="10"/>
      <c r="H89" s="10"/>
      <c r="I89" s="10"/>
      <c r="J89" s="10"/>
    </row>
    <row r="90">
      <c r="A90" s="10" t="s">
        <v>60</v>
      </c>
      <c r="B90" s="10">
        <v>70.0</v>
      </c>
      <c r="C90" s="10">
        <v>1110000.0</v>
      </c>
      <c r="D90" s="10">
        <v>77.0</v>
      </c>
      <c r="E90" s="10">
        <v>1150000.0</v>
      </c>
      <c r="F90" s="10"/>
      <c r="G90" s="10"/>
      <c r="H90" s="10">
        <v>60.0</v>
      </c>
      <c r="I90" s="10"/>
      <c r="J90" s="10">
        <v>800000.0</v>
      </c>
    </row>
    <row r="91">
      <c r="A91" s="10" t="s">
        <v>46</v>
      </c>
      <c r="B91" s="10"/>
      <c r="C91" s="10">
        <v>900000.0</v>
      </c>
      <c r="D91" s="10">
        <v>85.0</v>
      </c>
      <c r="E91" s="10"/>
      <c r="F91" s="10">
        <v>425.0</v>
      </c>
      <c r="G91" s="10">
        <v>370.0</v>
      </c>
      <c r="H91" s="10">
        <v>87.0</v>
      </c>
      <c r="I91" s="10">
        <v>600000.0</v>
      </c>
      <c r="J91" s="10"/>
    </row>
    <row r="92">
      <c r="A92" s="10" t="s">
        <v>66</v>
      </c>
      <c r="B92" s="10"/>
      <c r="C92" s="10"/>
      <c r="D92" s="10">
        <v>81.0</v>
      </c>
      <c r="E92" s="10"/>
      <c r="F92" s="10"/>
      <c r="G92" s="10">
        <v>310.0</v>
      </c>
      <c r="H92" s="10"/>
      <c r="I92" s="10">
        <v>700000.0</v>
      </c>
      <c r="J92" s="10"/>
    </row>
    <row r="93">
      <c r="A93" s="10" t="s">
        <v>35</v>
      </c>
      <c r="B93" s="10"/>
      <c r="C93" s="10"/>
      <c r="D93" s="10">
        <v>85.0</v>
      </c>
      <c r="E93" s="10"/>
      <c r="F93" s="10">
        <v>420.0</v>
      </c>
      <c r="G93" s="10"/>
      <c r="H93" s="10">
        <v>89.0</v>
      </c>
      <c r="I93" s="10"/>
      <c r="J93" s="10"/>
    </row>
    <row r="94">
      <c r="A94" s="10" t="s">
        <v>96</v>
      </c>
      <c r="B94" s="10">
        <v>70.0</v>
      </c>
      <c r="C94" s="10">
        <v>900000.0</v>
      </c>
      <c r="D94" s="10">
        <v>83.0</v>
      </c>
      <c r="E94" s="10">
        <v>1150000.0</v>
      </c>
      <c r="F94" s="10">
        <v>422.5</v>
      </c>
      <c r="G94" s="10">
        <v>340.0</v>
      </c>
      <c r="H94" s="10">
        <v>73.5</v>
      </c>
      <c r="I94" s="10">
        <v>700000.0</v>
      </c>
      <c r="J94" s="10">
        <v>800000.0</v>
      </c>
    </row>
    <row r="98"/>
    <row r="99"/>
    <row r="100"/>
    <row r="101"/>
    <row r="102"/>
    <row r="103"/>
    <row r="104"/>
    <row r="105"/>
    <row r="109"/>
    <row r="110"/>
    <row r="111"/>
    <row r="112"/>
    <row r="113"/>
    <row r="114"/>
    <row r="115"/>
    <row r="116"/>
    <row r="117"/>
  </sheetData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1" t="s">
        <v>108</v>
      </c>
      <c r="B1" s="12" t="s">
        <v>109</v>
      </c>
      <c r="C1" s="12" t="s">
        <v>110</v>
      </c>
      <c r="D1" s="12" t="s">
        <v>111</v>
      </c>
      <c r="E1" s="13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4" t="s">
        <v>119</v>
      </c>
      <c r="M1" s="12" t="s">
        <v>120</v>
      </c>
      <c r="N1" s="13" t="s">
        <v>121</v>
      </c>
      <c r="O1" s="12" t="s">
        <v>122</v>
      </c>
      <c r="P1" s="12" t="s">
        <v>123</v>
      </c>
      <c r="Q1" s="15" t="s">
        <v>124</v>
      </c>
      <c r="R1" s="15" t="s">
        <v>125</v>
      </c>
      <c r="S1" s="15" t="s">
        <v>126</v>
      </c>
      <c r="T1" s="15" t="s">
        <v>127</v>
      </c>
      <c r="U1" s="12" t="s">
        <v>128</v>
      </c>
      <c r="V1" s="12" t="s">
        <v>129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</row>
    <row r="2">
      <c r="A2" s="17" t="str">
        <f>'Monitoreo_M(B)_T2.0'!A3</f>
        <v>Cell Shopp</v>
      </c>
      <c r="B2" s="18" t="s">
        <v>130</v>
      </c>
      <c r="C2" s="19" t="s">
        <v>131</v>
      </c>
      <c r="D2" s="19" t="s">
        <v>132</v>
      </c>
      <c r="E2" s="20">
        <f>125*6</f>
        <v>750</v>
      </c>
      <c r="F2" s="21" t="s">
        <v>133</v>
      </c>
      <c r="G2" s="12" t="s">
        <v>134</v>
      </c>
      <c r="H2" s="22">
        <v>3.0</v>
      </c>
      <c r="I2" s="23">
        <f t="shared" ref="I2:I8" si="2">+H2*6</f>
        <v>18</v>
      </c>
      <c r="J2" s="22">
        <v>30.0</v>
      </c>
      <c r="K2" s="23">
        <f t="shared" ref="K2:K8" si="3">+J2*6</f>
        <v>180</v>
      </c>
      <c r="L2" s="24">
        <v>80.0</v>
      </c>
      <c r="M2" s="25">
        <f t="shared" ref="M2:M8" si="4">+H2*J2</f>
        <v>90</v>
      </c>
      <c r="N2" s="26">
        <f t="shared" ref="N2:N8" si="5">+M2*6</f>
        <v>540</v>
      </c>
      <c r="O2" s="25">
        <f t="shared" ref="O2:O8" si="6">+M2*24</f>
        <v>2160</v>
      </c>
      <c r="P2" s="25">
        <f t="shared" ref="P2:P8" si="7">+O2*12</f>
        <v>25920</v>
      </c>
      <c r="Q2" s="27">
        <f t="shared" ref="Q2:T2" si="1">+$L$2*M2</f>
        <v>7200</v>
      </c>
      <c r="R2" s="28">
        <f t="shared" si="1"/>
        <v>43200</v>
      </c>
      <c r="S2" s="28">
        <f t="shared" si="1"/>
        <v>172800</v>
      </c>
      <c r="T2" s="29">
        <f t="shared" si="1"/>
        <v>2073600</v>
      </c>
      <c r="U2" s="30">
        <f t="shared" ref="U2:U8" si="9">+T2*7000</f>
        <v>14515200000</v>
      </c>
      <c r="V2" s="31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</row>
    <row r="3">
      <c r="A3" s="17" t="str">
        <f>'Monitoreo_M(B)_T2.0'!A4</f>
        <v>Columbia</v>
      </c>
      <c r="B3" s="19" t="s">
        <v>135</v>
      </c>
      <c r="C3" s="19" t="s">
        <v>136</v>
      </c>
      <c r="D3" s="19" t="s">
        <v>132</v>
      </c>
      <c r="E3" s="32">
        <v>40000.0</v>
      </c>
      <c r="F3" s="33" t="s">
        <v>133</v>
      </c>
      <c r="G3" s="34" t="s">
        <v>134</v>
      </c>
      <c r="H3" s="35">
        <v>3.0</v>
      </c>
      <c r="I3" s="35">
        <f t="shared" si="2"/>
        <v>18</v>
      </c>
      <c r="J3" s="35">
        <v>2000.0</v>
      </c>
      <c r="K3" s="35">
        <f t="shared" si="3"/>
        <v>12000</v>
      </c>
      <c r="L3" s="35">
        <v>90.0</v>
      </c>
      <c r="M3" s="32">
        <f t="shared" si="4"/>
        <v>6000</v>
      </c>
      <c r="N3" s="36">
        <f t="shared" si="5"/>
        <v>36000</v>
      </c>
      <c r="O3" s="32">
        <f t="shared" si="6"/>
        <v>144000</v>
      </c>
      <c r="P3" s="32">
        <f t="shared" si="7"/>
        <v>1728000</v>
      </c>
      <c r="Q3" s="37">
        <f t="shared" ref="Q3:T3" si="8">+$L$3*M3</f>
        <v>540000</v>
      </c>
      <c r="R3" s="32">
        <f t="shared" si="8"/>
        <v>3240000</v>
      </c>
      <c r="S3" s="32">
        <f t="shared" si="8"/>
        <v>12960000</v>
      </c>
      <c r="T3" s="38">
        <f t="shared" si="8"/>
        <v>155520000</v>
      </c>
      <c r="U3" s="32">
        <f t="shared" si="9"/>
        <v>1088640000000</v>
      </c>
      <c r="V3" s="34">
        <v>1.0</v>
      </c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</row>
    <row r="4">
      <c r="A4" s="17" t="str">
        <f>'Monitoreo_M(B)_T2.0'!A5</f>
        <v>Farma Shop Dior</v>
      </c>
      <c r="B4" s="18" t="s">
        <v>130</v>
      </c>
      <c r="C4" s="19" t="s">
        <v>137</v>
      </c>
      <c r="D4" s="19" t="s">
        <v>132</v>
      </c>
      <c r="E4" s="20">
        <f>300*8</f>
        <v>2400</v>
      </c>
      <c r="F4" s="21" t="s">
        <v>133</v>
      </c>
      <c r="G4" s="12" t="s">
        <v>138</v>
      </c>
      <c r="H4" s="22">
        <v>8.5</v>
      </c>
      <c r="I4" s="23">
        <f t="shared" si="2"/>
        <v>51</v>
      </c>
      <c r="J4" s="22">
        <v>50.0</v>
      </c>
      <c r="K4" s="23">
        <f t="shared" si="3"/>
        <v>300</v>
      </c>
      <c r="L4" s="24">
        <v>75.0</v>
      </c>
      <c r="M4" s="25">
        <f t="shared" si="4"/>
        <v>425</v>
      </c>
      <c r="N4" s="26">
        <f t="shared" si="5"/>
        <v>2550</v>
      </c>
      <c r="O4" s="25">
        <f t="shared" si="6"/>
        <v>10200</v>
      </c>
      <c r="P4" s="25">
        <f t="shared" si="7"/>
        <v>122400</v>
      </c>
      <c r="Q4" s="27">
        <f t="shared" ref="Q4:T4" si="10">+$L$4*M4</f>
        <v>31875</v>
      </c>
      <c r="R4" s="28">
        <f t="shared" si="10"/>
        <v>191250</v>
      </c>
      <c r="S4" s="28">
        <f t="shared" si="10"/>
        <v>765000</v>
      </c>
      <c r="T4" s="29">
        <f t="shared" si="10"/>
        <v>9180000</v>
      </c>
      <c r="U4" s="30">
        <f t="shared" si="9"/>
        <v>64260000000</v>
      </c>
      <c r="V4" s="31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</row>
    <row r="5">
      <c r="A5" s="17" t="str">
        <f>'Monitoreo_M(B)_T2.0'!A6</f>
        <v>FarmaCon</v>
      </c>
      <c r="B5" s="19" t="s">
        <v>135</v>
      </c>
      <c r="C5" s="19" t="s">
        <v>139</v>
      </c>
      <c r="D5" s="19" t="s">
        <v>132</v>
      </c>
      <c r="E5" s="40">
        <v>840.0</v>
      </c>
      <c r="F5" s="21" t="s">
        <v>133</v>
      </c>
      <c r="G5" s="12" t="s">
        <v>134</v>
      </c>
      <c r="H5" s="22">
        <v>3.0</v>
      </c>
      <c r="I5" s="23">
        <f t="shared" si="2"/>
        <v>18</v>
      </c>
      <c r="J5" s="22">
        <v>180.0</v>
      </c>
      <c r="K5" s="23">
        <f t="shared" si="3"/>
        <v>1080</v>
      </c>
      <c r="L5" s="24">
        <v>85.0</v>
      </c>
      <c r="M5" s="25">
        <f t="shared" si="4"/>
        <v>540</v>
      </c>
      <c r="N5" s="20">
        <f t="shared" si="5"/>
        <v>3240</v>
      </c>
      <c r="O5" s="25">
        <f t="shared" si="6"/>
        <v>12960</v>
      </c>
      <c r="P5" s="25">
        <f t="shared" si="7"/>
        <v>155520</v>
      </c>
      <c r="Q5" s="27">
        <f t="shared" ref="Q5:T5" si="11">+$L$5*M5</f>
        <v>45900</v>
      </c>
      <c r="R5" s="28">
        <f t="shared" si="11"/>
        <v>275400</v>
      </c>
      <c r="S5" s="28">
        <f t="shared" si="11"/>
        <v>1101600</v>
      </c>
      <c r="T5" s="29">
        <f t="shared" si="11"/>
        <v>13219200</v>
      </c>
      <c r="U5" s="30">
        <f t="shared" si="9"/>
        <v>92534400000</v>
      </c>
      <c r="V5" s="31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>
      <c r="A6" s="17" t="str">
        <f>'Monitoreo_M(B)_T2.0'!A7</f>
        <v>ICLINIC</v>
      </c>
      <c r="B6" s="19" t="s">
        <v>135</v>
      </c>
      <c r="C6" s="19" t="s">
        <v>136</v>
      </c>
      <c r="D6" s="19" t="s">
        <v>132</v>
      </c>
      <c r="E6" s="20">
        <v>2100.0</v>
      </c>
      <c r="F6" s="21" t="s">
        <v>133</v>
      </c>
      <c r="G6" s="12">
        <v>1.0</v>
      </c>
      <c r="H6" s="22">
        <v>1.0</v>
      </c>
      <c r="I6" s="23">
        <f t="shared" si="2"/>
        <v>6</v>
      </c>
      <c r="J6" s="22">
        <v>550.0</v>
      </c>
      <c r="K6" s="23">
        <f t="shared" si="3"/>
        <v>3300</v>
      </c>
      <c r="L6" s="24">
        <v>87.0</v>
      </c>
      <c r="M6" s="25">
        <f t="shared" si="4"/>
        <v>550</v>
      </c>
      <c r="N6" s="20">
        <f t="shared" si="5"/>
        <v>3300</v>
      </c>
      <c r="O6" s="25">
        <f t="shared" si="6"/>
        <v>13200</v>
      </c>
      <c r="P6" s="25">
        <f t="shared" si="7"/>
        <v>158400</v>
      </c>
      <c r="Q6" s="27">
        <f t="shared" ref="Q6:T6" si="12">+$L$6*M6</f>
        <v>47850</v>
      </c>
      <c r="R6" s="28">
        <f t="shared" si="12"/>
        <v>287100</v>
      </c>
      <c r="S6" s="28">
        <f t="shared" si="12"/>
        <v>1148400</v>
      </c>
      <c r="T6" s="29">
        <f t="shared" si="12"/>
        <v>13780800</v>
      </c>
      <c r="U6" s="30">
        <f t="shared" si="9"/>
        <v>96465600000</v>
      </c>
      <c r="V6" s="31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</row>
    <row r="7">
      <c r="A7" s="41" t="s">
        <v>140</v>
      </c>
      <c r="B7" s="19" t="s">
        <v>135</v>
      </c>
      <c r="C7" s="19" t="s">
        <v>136</v>
      </c>
      <c r="D7" s="42" t="s">
        <v>141</v>
      </c>
      <c r="E7" s="40">
        <v>1500.0</v>
      </c>
      <c r="F7" s="21" t="s">
        <v>133</v>
      </c>
      <c r="G7" s="12" t="s">
        <v>134</v>
      </c>
      <c r="H7" s="22">
        <v>3.0</v>
      </c>
      <c r="I7" s="23">
        <f t="shared" si="2"/>
        <v>18</v>
      </c>
      <c r="J7" s="22">
        <v>200.0</v>
      </c>
      <c r="K7" s="23">
        <f t="shared" si="3"/>
        <v>1200</v>
      </c>
      <c r="L7" s="24">
        <v>89.0</v>
      </c>
      <c r="M7" s="25">
        <f t="shared" si="4"/>
        <v>600</v>
      </c>
      <c r="N7" s="20">
        <f t="shared" si="5"/>
        <v>3600</v>
      </c>
      <c r="O7" s="25">
        <f t="shared" si="6"/>
        <v>14400</v>
      </c>
      <c r="P7" s="25">
        <f t="shared" si="7"/>
        <v>172800</v>
      </c>
      <c r="Q7" s="27">
        <f t="shared" ref="Q7:T7" si="13">+$L$7*M7</f>
        <v>53400</v>
      </c>
      <c r="R7" s="28">
        <f t="shared" si="13"/>
        <v>320400</v>
      </c>
      <c r="S7" s="28">
        <f t="shared" si="13"/>
        <v>1281600</v>
      </c>
      <c r="T7" s="29">
        <f t="shared" si="13"/>
        <v>15379200</v>
      </c>
      <c r="U7" s="30">
        <f t="shared" si="9"/>
        <v>107654400000</v>
      </c>
      <c r="V7" s="31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</row>
    <row r="8">
      <c r="A8" s="43" t="s">
        <v>140</v>
      </c>
      <c r="B8" s="19" t="s">
        <v>135</v>
      </c>
      <c r="C8" s="19" t="s">
        <v>136</v>
      </c>
      <c r="D8" s="19" t="s">
        <v>132</v>
      </c>
      <c r="E8" s="32">
        <v>3000.0</v>
      </c>
      <c r="F8" s="44" t="s">
        <v>142</v>
      </c>
      <c r="G8" s="34" t="s">
        <v>134</v>
      </c>
      <c r="H8" s="35">
        <v>3.0</v>
      </c>
      <c r="I8" s="35">
        <f t="shared" si="2"/>
        <v>18</v>
      </c>
      <c r="J8" s="35">
        <v>500.0</v>
      </c>
      <c r="K8" s="35">
        <f t="shared" si="3"/>
        <v>3000</v>
      </c>
      <c r="L8" s="35">
        <v>90.0</v>
      </c>
      <c r="M8" s="32">
        <f t="shared" si="4"/>
        <v>1500</v>
      </c>
      <c r="N8" s="32">
        <f t="shared" si="5"/>
        <v>9000</v>
      </c>
      <c r="O8" s="32">
        <f t="shared" si="6"/>
        <v>36000</v>
      </c>
      <c r="P8" s="32">
        <f t="shared" si="7"/>
        <v>432000</v>
      </c>
      <c r="Q8" s="37">
        <f t="shared" ref="Q8:T8" si="14">+$L$8*M8</f>
        <v>135000</v>
      </c>
      <c r="R8" s="32">
        <f t="shared" si="14"/>
        <v>810000</v>
      </c>
      <c r="S8" s="32">
        <f t="shared" si="14"/>
        <v>3240000</v>
      </c>
      <c r="T8" s="45">
        <f t="shared" si="14"/>
        <v>38880000</v>
      </c>
      <c r="U8" s="32">
        <f t="shared" si="9"/>
        <v>272160000000</v>
      </c>
      <c r="V8" s="34">
        <v>2.0</v>
      </c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</row>
    <row r="9">
      <c r="A9" s="16"/>
      <c r="B9" s="16"/>
      <c r="C9" s="16"/>
      <c r="D9" s="16"/>
      <c r="E9" s="46">
        <f>SUM(E2:E8)</f>
        <v>50590</v>
      </c>
      <c r="F9" s="16"/>
      <c r="G9" s="16"/>
      <c r="H9" s="16"/>
      <c r="I9" s="16"/>
      <c r="J9" s="16"/>
      <c r="K9" s="16"/>
      <c r="L9" s="47"/>
      <c r="M9" s="46">
        <f t="shared" ref="M9:N9" si="15">SUM(M2:M8)</f>
        <v>9705</v>
      </c>
      <c r="N9" s="48">
        <f t="shared" si="15"/>
        <v>58230</v>
      </c>
      <c r="O9" s="49"/>
      <c r="P9" s="49"/>
      <c r="Q9" s="50"/>
      <c r="R9" s="50"/>
      <c r="S9" s="51">
        <f t="shared" ref="S9:U9" si="16">SUM(S2:S8)</f>
        <v>20669400</v>
      </c>
      <c r="T9" s="51">
        <f t="shared" si="16"/>
        <v>248032800</v>
      </c>
      <c r="U9" s="52">
        <f t="shared" si="16"/>
        <v>1736229600000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</row>
    <row r="10">
      <c r="A10" s="53" t="s">
        <v>143</v>
      </c>
      <c r="B10" s="54"/>
      <c r="C10" s="54"/>
      <c r="D10" s="54"/>
      <c r="E10" s="54"/>
      <c r="F10" s="54"/>
      <c r="G10" s="54"/>
      <c r="H10" s="55">
        <f t="shared" ref="H10:T10" si="17">AVERAGE(H2:H8)</f>
        <v>3.5</v>
      </c>
      <c r="I10" s="55">
        <f t="shared" si="17"/>
        <v>21</v>
      </c>
      <c r="J10" s="55">
        <f t="shared" si="17"/>
        <v>501.4285714</v>
      </c>
      <c r="K10" s="55">
        <f t="shared" si="17"/>
        <v>3008.571429</v>
      </c>
      <c r="L10" s="55">
        <f t="shared" si="17"/>
        <v>85.14285714</v>
      </c>
      <c r="M10" s="55">
        <f t="shared" si="17"/>
        <v>1386.428571</v>
      </c>
      <c r="N10" s="55">
        <f t="shared" si="17"/>
        <v>8318.571429</v>
      </c>
      <c r="O10" s="55">
        <f t="shared" si="17"/>
        <v>33274.28571</v>
      </c>
      <c r="P10" s="55">
        <f t="shared" si="17"/>
        <v>399291.4286</v>
      </c>
      <c r="Q10" s="55">
        <f t="shared" si="17"/>
        <v>123032.1429</v>
      </c>
      <c r="R10" s="55">
        <f t="shared" si="17"/>
        <v>738192.8571</v>
      </c>
      <c r="S10" s="55">
        <f t="shared" si="17"/>
        <v>2952771.429</v>
      </c>
      <c r="T10" s="55">
        <f t="shared" si="17"/>
        <v>35433257.14</v>
      </c>
      <c r="U10" s="56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55">
        <f t="array" ref="Q11">AVERAGE((Q4:Q8)+Q2)</f>
        <v>70005</v>
      </c>
      <c r="R11" s="55">
        <f t="array" ref="R11">AVERAGE((R4:R8)+R2)</f>
        <v>420030</v>
      </c>
      <c r="S11" s="55">
        <f t="array" ref="S11">AVERAGE((S4:S8)+S2)</f>
        <v>1680120</v>
      </c>
      <c r="T11" s="55">
        <f t="array" ref="T11">AVERAGE((T4:T8)+T2)</f>
        <v>20161440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</row>
    <row r="12">
      <c r="A12" s="53" t="s">
        <v>144</v>
      </c>
      <c r="B12" s="57">
        <v>21.0</v>
      </c>
      <c r="C12" s="54"/>
      <c r="D12" s="54"/>
      <c r="E12" s="54"/>
      <c r="F12" s="54"/>
      <c r="G12" s="54"/>
      <c r="H12" s="58">
        <v>4.0</v>
      </c>
      <c r="I12" s="56"/>
      <c r="J12" s="59">
        <f t="shared" ref="J12:J13" si="19">+M12/H12</f>
        <v>7599.044118</v>
      </c>
      <c r="K12" s="60">
        <f t="shared" ref="K12:K13" si="20">+J12*6</f>
        <v>45594.26471</v>
      </c>
      <c r="L12" s="61">
        <v>85.0</v>
      </c>
      <c r="M12" s="59">
        <f t="shared" ref="M12:M13" si="21">+Q12/L12</f>
        <v>30396.17647</v>
      </c>
      <c r="N12" s="62">
        <f t="shared" ref="N12:N13" si="22">+M12*6</f>
        <v>182377.0588</v>
      </c>
      <c r="O12" s="63">
        <f t="shared" ref="O12:O13" si="23">+M12*24</f>
        <v>729508.2353</v>
      </c>
      <c r="P12" s="62">
        <f>+O12*10</f>
        <v>7295082.353</v>
      </c>
      <c r="Q12" s="64">
        <f t="shared" ref="Q12:T12" si="18">+$B$12*Q10</f>
        <v>2583675</v>
      </c>
      <c r="R12" s="65">
        <f t="shared" si="18"/>
        <v>15502050</v>
      </c>
      <c r="S12" s="66">
        <f t="shared" si="18"/>
        <v>62008200</v>
      </c>
      <c r="T12" s="67">
        <f t="shared" si="18"/>
        <v>744098400</v>
      </c>
      <c r="U12" s="68">
        <f t="shared" ref="U12:U13" si="25">+T12*7300</f>
        <v>5431918320000</v>
      </c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</row>
    <row r="13">
      <c r="A13" s="53" t="s">
        <v>145</v>
      </c>
      <c r="B13" s="57">
        <v>21.0</v>
      </c>
      <c r="C13" s="54"/>
      <c r="D13" s="54"/>
      <c r="E13" s="54"/>
      <c r="F13" s="54"/>
      <c r="G13" s="54"/>
      <c r="H13" s="58">
        <v>4.0</v>
      </c>
      <c r="I13" s="56"/>
      <c r="J13" s="59">
        <f t="shared" si="19"/>
        <v>4323.838235</v>
      </c>
      <c r="K13" s="60">
        <f t="shared" si="20"/>
        <v>25943.02941</v>
      </c>
      <c r="L13" s="61">
        <v>85.0</v>
      </c>
      <c r="M13" s="59">
        <f t="shared" si="21"/>
        <v>17295.35294</v>
      </c>
      <c r="N13" s="62">
        <f t="shared" si="22"/>
        <v>103772.1176</v>
      </c>
      <c r="O13" s="63">
        <f t="shared" si="23"/>
        <v>415088.4706</v>
      </c>
      <c r="P13" s="62">
        <f>+O13*11</f>
        <v>4565973.176</v>
      </c>
      <c r="Q13" s="64">
        <f t="shared" ref="Q13:S13" si="24">+$B$12*Q11</f>
        <v>1470105</v>
      </c>
      <c r="R13" s="65">
        <f t="shared" si="24"/>
        <v>8820630</v>
      </c>
      <c r="S13" s="66">
        <f t="shared" si="24"/>
        <v>35282520</v>
      </c>
      <c r="T13" s="67">
        <f>+$B$13*T11</f>
        <v>423390240</v>
      </c>
      <c r="U13" s="68">
        <f t="shared" si="25"/>
        <v>3090748752000</v>
      </c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</row>
    <row r="14">
      <c r="A14" s="53" t="s">
        <v>146</v>
      </c>
      <c r="B14" s="54"/>
      <c r="C14" s="54"/>
      <c r="D14" s="54"/>
      <c r="E14" s="54"/>
      <c r="F14" s="54"/>
      <c r="G14" s="54"/>
      <c r="H14" s="69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</row>
    <row r="15">
      <c r="A15" s="53" t="s">
        <v>147</v>
      </c>
      <c r="B15" s="54"/>
      <c r="C15" s="54"/>
      <c r="D15" s="54"/>
      <c r="E15" s="54"/>
      <c r="F15" s="54"/>
      <c r="G15" s="54"/>
      <c r="H15" s="69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</row>
    <row r="16">
      <c r="A16" s="70" t="s">
        <v>148</v>
      </c>
      <c r="B16" s="16"/>
      <c r="C16" s="16"/>
      <c r="D16" s="16"/>
      <c r="E16" s="16"/>
      <c r="F16" s="16"/>
      <c r="G16" s="16"/>
      <c r="H16" s="71"/>
      <c r="I16" s="16"/>
      <c r="J16" s="16"/>
      <c r="K16" s="16"/>
      <c r="L16" s="16"/>
      <c r="M16" s="72">
        <f>+H12*J12</f>
        <v>30396.17647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>
      <c r="A17" s="16"/>
      <c r="B17" s="16"/>
      <c r="C17" s="16"/>
      <c r="D17" s="16"/>
      <c r="E17" s="16"/>
      <c r="F17" s="16"/>
      <c r="G17" s="16"/>
      <c r="H17" s="71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</row>
    <row r="18">
      <c r="A18" s="16"/>
      <c r="B18" s="16"/>
      <c r="C18" s="70" t="s">
        <v>149</v>
      </c>
      <c r="D18" s="16"/>
      <c r="E18" s="16"/>
      <c r="F18" s="16"/>
      <c r="G18" s="16"/>
      <c r="H18" s="71"/>
      <c r="I18" s="16"/>
      <c r="J18" s="70" t="s">
        <v>115</v>
      </c>
      <c r="K18" s="16"/>
      <c r="L18" s="16"/>
      <c r="M18" s="16"/>
      <c r="N18" s="16"/>
      <c r="O18" s="16"/>
      <c r="P18" s="16"/>
      <c r="Q18" s="70" t="s">
        <v>120</v>
      </c>
      <c r="R18" s="16"/>
      <c r="S18" s="16"/>
      <c r="T18" s="16"/>
      <c r="U18" s="16"/>
      <c r="V18" s="16"/>
      <c r="W18" s="16"/>
      <c r="X18" s="70" t="s">
        <v>122</v>
      </c>
      <c r="Y18" s="16"/>
      <c r="Z18" s="16"/>
      <c r="AA18" s="16"/>
      <c r="AB18" s="16"/>
      <c r="AC18" s="16"/>
      <c r="AD18" s="16"/>
      <c r="AE18" s="70" t="s">
        <v>124</v>
      </c>
      <c r="AF18" s="16"/>
      <c r="AG18" s="16"/>
      <c r="AH18" s="16"/>
      <c r="AI18" s="16"/>
      <c r="AJ18" s="16"/>
      <c r="AK18" s="16"/>
      <c r="AL18" s="70" t="s">
        <v>125</v>
      </c>
      <c r="AM18" s="16"/>
      <c r="AN18" s="16"/>
      <c r="AO18" s="16"/>
      <c r="AP18" s="16"/>
      <c r="AQ18" s="16"/>
      <c r="AR18" s="16"/>
      <c r="AS18" s="70" t="s">
        <v>126</v>
      </c>
      <c r="AT18" s="16"/>
      <c r="AU18" s="16"/>
      <c r="AV18" s="16"/>
      <c r="AW18" s="16"/>
      <c r="AX18" s="16"/>
      <c r="AY18" s="16"/>
      <c r="AZ18" s="70" t="s">
        <v>127</v>
      </c>
      <c r="BA18" s="16"/>
      <c r="BB18" s="16"/>
      <c r="BC18" s="16"/>
      <c r="BD18" s="16"/>
      <c r="BE18" s="16"/>
      <c r="BF18" s="16"/>
    </row>
    <row r="19">
      <c r="A19" s="73" t="s">
        <v>110</v>
      </c>
      <c r="B19" s="12" t="s">
        <v>150</v>
      </c>
      <c r="C19" s="74" t="s">
        <v>151</v>
      </c>
      <c r="D19" s="74" t="s">
        <v>152</v>
      </c>
      <c r="E19" s="74" t="s">
        <v>153</v>
      </c>
      <c r="F19" s="74" t="s">
        <v>154</v>
      </c>
      <c r="G19" s="74" t="s">
        <v>155</v>
      </c>
      <c r="H19" s="74" t="s">
        <v>156</v>
      </c>
      <c r="I19" s="74" t="s">
        <v>157</v>
      </c>
      <c r="J19" s="75" t="s">
        <v>151</v>
      </c>
      <c r="K19" s="75" t="s">
        <v>152</v>
      </c>
      <c r="L19" s="75" t="s">
        <v>153</v>
      </c>
      <c r="M19" s="75" t="s">
        <v>154</v>
      </c>
      <c r="N19" s="75" t="s">
        <v>155</v>
      </c>
      <c r="O19" s="75" t="s">
        <v>156</v>
      </c>
      <c r="P19" s="75" t="s">
        <v>157</v>
      </c>
      <c r="Q19" s="76" t="s">
        <v>151</v>
      </c>
      <c r="R19" s="76" t="s">
        <v>152</v>
      </c>
      <c r="S19" s="76" t="s">
        <v>153</v>
      </c>
      <c r="T19" s="76" t="s">
        <v>154</v>
      </c>
      <c r="U19" s="76" t="s">
        <v>155</v>
      </c>
      <c r="V19" s="76" t="s">
        <v>156</v>
      </c>
      <c r="W19" s="76" t="s">
        <v>157</v>
      </c>
      <c r="X19" s="77" t="s">
        <v>151</v>
      </c>
      <c r="Y19" s="77" t="s">
        <v>152</v>
      </c>
      <c r="Z19" s="77" t="s">
        <v>153</v>
      </c>
      <c r="AA19" s="77" t="s">
        <v>154</v>
      </c>
      <c r="AB19" s="77" t="s">
        <v>155</v>
      </c>
      <c r="AC19" s="77" t="s">
        <v>156</v>
      </c>
      <c r="AD19" s="77" t="s">
        <v>157</v>
      </c>
      <c r="AE19" s="75" t="s">
        <v>151</v>
      </c>
      <c r="AF19" s="75" t="s">
        <v>152</v>
      </c>
      <c r="AG19" s="75" t="s">
        <v>153</v>
      </c>
      <c r="AH19" s="75" t="s">
        <v>154</v>
      </c>
      <c r="AI19" s="75" t="s">
        <v>155</v>
      </c>
      <c r="AJ19" s="75" t="s">
        <v>156</v>
      </c>
      <c r="AK19" s="75" t="s">
        <v>157</v>
      </c>
      <c r="AL19" s="76" t="s">
        <v>151</v>
      </c>
      <c r="AM19" s="76" t="s">
        <v>152</v>
      </c>
      <c r="AN19" s="76" t="s">
        <v>153</v>
      </c>
      <c r="AO19" s="76" t="s">
        <v>154</v>
      </c>
      <c r="AP19" s="76" t="s">
        <v>155</v>
      </c>
      <c r="AQ19" s="76" t="s">
        <v>156</v>
      </c>
      <c r="AR19" s="76" t="s">
        <v>157</v>
      </c>
      <c r="AS19" s="75" t="s">
        <v>151</v>
      </c>
      <c r="AT19" s="75" t="s">
        <v>152</v>
      </c>
      <c r="AU19" s="75" t="s">
        <v>153</v>
      </c>
      <c r="AV19" s="75" t="s">
        <v>154</v>
      </c>
      <c r="AW19" s="75" t="s">
        <v>155</v>
      </c>
      <c r="AX19" s="75" t="s">
        <v>156</v>
      </c>
      <c r="AY19" s="75" t="s">
        <v>157</v>
      </c>
      <c r="AZ19" s="76" t="s">
        <v>151</v>
      </c>
      <c r="BA19" s="76" t="s">
        <v>152</v>
      </c>
      <c r="BB19" s="76" t="s">
        <v>153</v>
      </c>
      <c r="BC19" s="76" t="s">
        <v>154</v>
      </c>
      <c r="BD19" s="76" t="s">
        <v>155</v>
      </c>
      <c r="BE19" s="76" t="s">
        <v>156</v>
      </c>
      <c r="BF19" s="76" t="s">
        <v>157</v>
      </c>
    </row>
    <row r="20">
      <c r="A20" s="78" t="s">
        <v>87</v>
      </c>
      <c r="B20" s="79">
        <v>0.021126761</v>
      </c>
      <c r="C20" s="80">
        <v>0.0</v>
      </c>
      <c r="D20" s="80">
        <v>0.048780488</v>
      </c>
      <c r="E20" s="80">
        <v>0.0</v>
      </c>
      <c r="F20" s="80">
        <v>0.025</v>
      </c>
      <c r="G20" s="80">
        <v>0.05</v>
      </c>
      <c r="H20" s="80">
        <v>0.0</v>
      </c>
      <c r="I20" s="80">
        <v>0.023809524</v>
      </c>
      <c r="J20" s="22">
        <f t="shared" ref="J20:J26" si="27">+C20*$H$2</f>
        <v>0</v>
      </c>
      <c r="K20" s="22">
        <f t="shared" ref="K20:K26" si="28">+D20*$H$3</f>
        <v>0.146341464</v>
      </c>
      <c r="L20" s="22">
        <f t="shared" ref="L20:L26" si="29">+E20*$H$4</f>
        <v>0</v>
      </c>
      <c r="M20" s="22">
        <f t="shared" ref="M20:M26" si="30">+F20*$H$5</f>
        <v>0.075</v>
      </c>
      <c r="N20" s="22">
        <f t="shared" ref="N20:N26" si="31">+G20*$H$6</f>
        <v>0.05</v>
      </c>
      <c r="O20" s="22">
        <f t="shared" ref="O20:O26" si="32">+H20*$H$7</f>
        <v>0</v>
      </c>
      <c r="P20" s="22">
        <f t="shared" ref="P20:P26" si="33">+I20*$H$8</f>
        <v>0.071428572</v>
      </c>
      <c r="Q20" s="81">
        <f t="shared" ref="Q20:Q26" si="34">+C20*$M$2</f>
        <v>0</v>
      </c>
      <c r="R20" s="81">
        <f t="shared" ref="R20:R26" si="35">+D20*$M$3</f>
        <v>292.682928</v>
      </c>
      <c r="S20" s="81">
        <f t="shared" ref="S20:S26" si="36">+E20*$M$4</f>
        <v>0</v>
      </c>
      <c r="T20" s="81">
        <f t="shared" ref="T20:T26" si="37">+F20*$M$5</f>
        <v>13.5</v>
      </c>
      <c r="U20" s="81">
        <f t="shared" ref="U20:V20" si="26">+G20*$M$7</f>
        <v>30</v>
      </c>
      <c r="V20" s="81">
        <f t="shared" si="26"/>
        <v>0</v>
      </c>
      <c r="W20" s="81">
        <f t="shared" ref="W20:W26" si="38">+I20*$M$8</f>
        <v>35.714286</v>
      </c>
      <c r="X20" s="81">
        <f t="shared" ref="X20:X26" si="39">+C20*$O$2</f>
        <v>0</v>
      </c>
      <c r="Y20" s="81">
        <f t="shared" ref="Y20:Y26" si="40">+D20*$O$3</f>
        <v>7024.390272</v>
      </c>
      <c r="Z20" s="81">
        <f t="shared" ref="Z20:Z26" si="41">+E20*$O$4</f>
        <v>0</v>
      </c>
      <c r="AA20" s="81">
        <f t="shared" ref="AA20:AA26" si="42">+F20*$O$5</f>
        <v>324</v>
      </c>
      <c r="AB20" s="81">
        <f t="shared" ref="AB20:AB26" si="43">+G20*$O$6</f>
        <v>660</v>
      </c>
      <c r="AC20" s="81">
        <f t="shared" ref="AC20:AC26" si="44">+H20*$O$7</f>
        <v>0</v>
      </c>
      <c r="AD20" s="81">
        <f t="shared" ref="AD20:AD26" si="45">+I20*$O$8</f>
        <v>857.142864</v>
      </c>
      <c r="AE20" s="82">
        <f t="shared" ref="AE20:AE26" si="46">+C20*$Q$2</f>
        <v>0</v>
      </c>
      <c r="AF20" s="82">
        <f t="shared" ref="AF20:AF26" si="47">+D20*$Q$3</f>
        <v>26341.46352</v>
      </c>
      <c r="AG20" s="82">
        <f t="shared" ref="AG20:AG26" si="48">+E20*$Q$4</f>
        <v>0</v>
      </c>
      <c r="AH20" s="82">
        <f t="shared" ref="AH20:AH26" si="49">+F20*$Q$5</f>
        <v>1147.5</v>
      </c>
      <c r="AI20" s="82">
        <f t="shared" ref="AI20:AI26" si="50">+G20*$Q$6</f>
        <v>2392.5</v>
      </c>
      <c r="AJ20" s="82">
        <f t="shared" ref="AJ20:AJ26" si="51">+H20*$Q$7</f>
        <v>0</v>
      </c>
      <c r="AK20" s="82">
        <f t="shared" ref="AK20:AK26" si="52">+I20*$Q$8</f>
        <v>3214.28574</v>
      </c>
      <c r="AL20" s="82">
        <f t="shared" ref="AL20:AL26" si="53">+C20*$R$2</f>
        <v>0</v>
      </c>
      <c r="AM20" s="82">
        <f t="shared" ref="AM20:AM26" si="54">+D20*$R$3</f>
        <v>158048.7811</v>
      </c>
      <c r="AN20" s="82">
        <f t="shared" ref="AN20:AN26" si="55">+E20*$R$4</f>
        <v>0</v>
      </c>
      <c r="AO20" s="82">
        <f t="shared" ref="AO20:AO26" si="56">+F20*$R$5</f>
        <v>6885</v>
      </c>
      <c r="AP20" s="82">
        <f t="shared" ref="AP20:AP26" si="57">+G20*$R$6</f>
        <v>14355</v>
      </c>
      <c r="AQ20" s="82">
        <f t="shared" ref="AQ20:AQ26" si="58">+H20*$R$7</f>
        <v>0</v>
      </c>
      <c r="AR20" s="82">
        <f t="shared" ref="AR20:AR26" si="59">+I20*$R$8</f>
        <v>19285.71444</v>
      </c>
      <c r="AS20" s="82">
        <f t="shared" ref="AS20:AS26" si="60">+C20*$S$2</f>
        <v>0</v>
      </c>
      <c r="AT20" s="82">
        <f t="shared" ref="AT20:AT26" si="61">+D20*$S$3</f>
        <v>632195.1245</v>
      </c>
      <c r="AU20" s="82">
        <f t="shared" ref="AU20:AU26" si="62">+E20*$S$4</f>
        <v>0</v>
      </c>
      <c r="AV20" s="82">
        <f t="shared" ref="AV20:AV26" si="63">+F20*$S$5</f>
        <v>27540</v>
      </c>
      <c r="AW20" s="82">
        <f t="shared" ref="AW20:AW26" si="64">+G20*$S$6</f>
        <v>57420</v>
      </c>
      <c r="AX20" s="82">
        <f t="shared" ref="AX20:AX26" si="65">+H20*$S$7</f>
        <v>0</v>
      </c>
      <c r="AY20" s="82">
        <f t="shared" ref="AY20:AY26" si="66">+I20*$S$8</f>
        <v>77142.85776</v>
      </c>
      <c r="AZ20" s="82">
        <f t="shared" ref="AZ20:AZ26" si="67">+C20*$T$2</f>
        <v>0</v>
      </c>
      <c r="BA20" s="82">
        <f t="shared" ref="BA20:BA26" si="68">+D20*$T$3</f>
        <v>7586341.494</v>
      </c>
      <c r="BB20" s="82">
        <f t="shared" ref="BB20:BB26" si="69">+E20*$T$4</f>
        <v>0</v>
      </c>
      <c r="BC20" s="82">
        <f t="shared" ref="BC20:BC26" si="70">+F20*$T$5</f>
        <v>330480</v>
      </c>
      <c r="BD20" s="82">
        <f t="shared" ref="BD20:BD26" si="71">+G20*$T$6</f>
        <v>689040</v>
      </c>
      <c r="BE20" s="82">
        <f t="shared" ref="BE20:BE26" si="72">+H20*$T$7</f>
        <v>0</v>
      </c>
      <c r="BF20" s="82">
        <f t="shared" ref="BF20:BF26" si="73">+I20*$T$8</f>
        <v>925714.2931</v>
      </c>
    </row>
    <row r="21">
      <c r="A21" s="78" t="s">
        <v>158</v>
      </c>
      <c r="B21" s="79">
        <v>0.003521127</v>
      </c>
      <c r="C21" s="80">
        <v>0.024390244</v>
      </c>
      <c r="D21" s="80">
        <v>0.0</v>
      </c>
      <c r="E21" s="80">
        <v>0.0</v>
      </c>
      <c r="F21" s="80">
        <v>0.0</v>
      </c>
      <c r="G21" s="80">
        <v>0.0</v>
      </c>
      <c r="H21" s="80">
        <v>0.0</v>
      </c>
      <c r="I21" s="80">
        <v>0.0</v>
      </c>
      <c r="J21" s="22">
        <f t="shared" si="27"/>
        <v>0.073170732</v>
      </c>
      <c r="K21" s="22">
        <f t="shared" si="28"/>
        <v>0</v>
      </c>
      <c r="L21" s="22">
        <f t="shared" si="29"/>
        <v>0</v>
      </c>
      <c r="M21" s="22">
        <f t="shared" si="30"/>
        <v>0</v>
      </c>
      <c r="N21" s="22">
        <f t="shared" si="31"/>
        <v>0</v>
      </c>
      <c r="O21" s="22">
        <f t="shared" si="32"/>
        <v>0</v>
      </c>
      <c r="P21" s="22">
        <f t="shared" si="33"/>
        <v>0</v>
      </c>
      <c r="Q21" s="81">
        <f t="shared" si="34"/>
        <v>2.19512196</v>
      </c>
      <c r="R21" s="81">
        <f t="shared" si="35"/>
        <v>0</v>
      </c>
      <c r="S21" s="81">
        <f t="shared" si="36"/>
        <v>0</v>
      </c>
      <c r="T21" s="81">
        <f t="shared" si="37"/>
        <v>0</v>
      </c>
      <c r="U21" s="81">
        <f t="shared" ref="U21:U26" si="74">+G21*$M$6</f>
        <v>0</v>
      </c>
      <c r="V21" s="81">
        <f t="shared" ref="V21:V26" si="75">+H21*$M$7</f>
        <v>0</v>
      </c>
      <c r="W21" s="81">
        <f t="shared" si="38"/>
        <v>0</v>
      </c>
      <c r="X21" s="81">
        <f t="shared" si="39"/>
        <v>52.68292704</v>
      </c>
      <c r="Y21" s="81">
        <f t="shared" si="40"/>
        <v>0</v>
      </c>
      <c r="Z21" s="81">
        <f t="shared" si="41"/>
        <v>0</v>
      </c>
      <c r="AA21" s="81">
        <f t="shared" si="42"/>
        <v>0</v>
      </c>
      <c r="AB21" s="81">
        <f t="shared" si="43"/>
        <v>0</v>
      </c>
      <c r="AC21" s="81">
        <f t="shared" si="44"/>
        <v>0</v>
      </c>
      <c r="AD21" s="81">
        <f t="shared" si="45"/>
        <v>0</v>
      </c>
      <c r="AE21" s="82">
        <f t="shared" si="46"/>
        <v>175.6097568</v>
      </c>
      <c r="AF21" s="82">
        <f t="shared" si="47"/>
        <v>0</v>
      </c>
      <c r="AG21" s="82">
        <f t="shared" si="48"/>
        <v>0</v>
      </c>
      <c r="AH21" s="82">
        <f t="shared" si="49"/>
        <v>0</v>
      </c>
      <c r="AI21" s="82">
        <f t="shared" si="50"/>
        <v>0</v>
      </c>
      <c r="AJ21" s="82">
        <f t="shared" si="51"/>
        <v>0</v>
      </c>
      <c r="AK21" s="82">
        <f t="shared" si="52"/>
        <v>0</v>
      </c>
      <c r="AL21" s="82">
        <f t="shared" si="53"/>
        <v>1053.658541</v>
      </c>
      <c r="AM21" s="82">
        <f t="shared" si="54"/>
        <v>0</v>
      </c>
      <c r="AN21" s="82">
        <f t="shared" si="55"/>
        <v>0</v>
      </c>
      <c r="AO21" s="82">
        <f t="shared" si="56"/>
        <v>0</v>
      </c>
      <c r="AP21" s="82">
        <f t="shared" si="57"/>
        <v>0</v>
      </c>
      <c r="AQ21" s="82">
        <f t="shared" si="58"/>
        <v>0</v>
      </c>
      <c r="AR21" s="82">
        <f t="shared" si="59"/>
        <v>0</v>
      </c>
      <c r="AS21" s="82">
        <f t="shared" si="60"/>
        <v>4214.634163</v>
      </c>
      <c r="AT21" s="82">
        <f t="shared" si="61"/>
        <v>0</v>
      </c>
      <c r="AU21" s="82">
        <f t="shared" si="62"/>
        <v>0</v>
      </c>
      <c r="AV21" s="82">
        <f t="shared" si="63"/>
        <v>0</v>
      </c>
      <c r="AW21" s="82">
        <f t="shared" si="64"/>
        <v>0</v>
      </c>
      <c r="AX21" s="82">
        <f t="shared" si="65"/>
        <v>0</v>
      </c>
      <c r="AY21" s="82">
        <f t="shared" si="66"/>
        <v>0</v>
      </c>
      <c r="AZ21" s="82">
        <f t="shared" si="67"/>
        <v>50575.60996</v>
      </c>
      <c r="BA21" s="82">
        <f t="shared" si="68"/>
        <v>0</v>
      </c>
      <c r="BB21" s="82">
        <f t="shared" si="69"/>
        <v>0</v>
      </c>
      <c r="BC21" s="82">
        <f t="shared" si="70"/>
        <v>0</v>
      </c>
      <c r="BD21" s="82">
        <f t="shared" si="71"/>
        <v>0</v>
      </c>
      <c r="BE21" s="82">
        <f t="shared" si="72"/>
        <v>0</v>
      </c>
      <c r="BF21" s="82">
        <f t="shared" si="73"/>
        <v>0</v>
      </c>
    </row>
    <row r="22">
      <c r="A22" s="78" t="s">
        <v>60</v>
      </c>
      <c r="B22" s="79">
        <v>0.320422535</v>
      </c>
      <c r="C22" s="83">
        <v>0.56097561</v>
      </c>
      <c r="D22" s="80">
        <v>0.292682927</v>
      </c>
      <c r="E22" s="83">
        <v>0.425</v>
      </c>
      <c r="F22" s="80">
        <v>0.1</v>
      </c>
      <c r="G22" s="80">
        <v>0.05</v>
      </c>
      <c r="H22" s="83">
        <v>0.625</v>
      </c>
      <c r="I22" s="80">
        <v>0.19047619</v>
      </c>
      <c r="J22" s="22">
        <f t="shared" si="27"/>
        <v>1.68292683</v>
      </c>
      <c r="K22" s="22">
        <f t="shared" si="28"/>
        <v>0.878048781</v>
      </c>
      <c r="L22" s="22">
        <f t="shared" si="29"/>
        <v>3.6125</v>
      </c>
      <c r="M22" s="22">
        <f t="shared" si="30"/>
        <v>0.3</v>
      </c>
      <c r="N22" s="22">
        <f t="shared" si="31"/>
        <v>0.05</v>
      </c>
      <c r="O22" s="22">
        <f t="shared" si="32"/>
        <v>1.875</v>
      </c>
      <c r="P22" s="22">
        <f t="shared" si="33"/>
        <v>0.57142857</v>
      </c>
      <c r="Q22" s="81">
        <f t="shared" si="34"/>
        <v>50.4878049</v>
      </c>
      <c r="R22" s="81">
        <f t="shared" si="35"/>
        <v>1756.097562</v>
      </c>
      <c r="S22" s="81">
        <f t="shared" si="36"/>
        <v>180.625</v>
      </c>
      <c r="T22" s="81">
        <f t="shared" si="37"/>
        <v>54</v>
      </c>
      <c r="U22" s="81">
        <f t="shared" si="74"/>
        <v>27.5</v>
      </c>
      <c r="V22" s="81">
        <f t="shared" si="75"/>
        <v>375</v>
      </c>
      <c r="W22" s="81">
        <f t="shared" si="38"/>
        <v>285.714285</v>
      </c>
      <c r="X22" s="84">
        <f t="shared" si="39"/>
        <v>1211.707318</v>
      </c>
      <c r="Y22" s="81">
        <f t="shared" si="40"/>
        <v>42146.34149</v>
      </c>
      <c r="Z22" s="84">
        <f t="shared" si="41"/>
        <v>4335</v>
      </c>
      <c r="AA22" s="81">
        <f t="shared" si="42"/>
        <v>1296</v>
      </c>
      <c r="AB22" s="81">
        <f t="shared" si="43"/>
        <v>660</v>
      </c>
      <c r="AC22" s="84">
        <f t="shared" si="44"/>
        <v>9000</v>
      </c>
      <c r="AD22" s="81">
        <f t="shared" si="45"/>
        <v>6857.14284</v>
      </c>
      <c r="AE22" s="82">
        <f t="shared" si="46"/>
        <v>4039.024392</v>
      </c>
      <c r="AF22" s="82">
        <f t="shared" si="47"/>
        <v>158048.7806</v>
      </c>
      <c r="AG22" s="82">
        <f t="shared" si="48"/>
        <v>13546.875</v>
      </c>
      <c r="AH22" s="82">
        <f t="shared" si="49"/>
        <v>4590</v>
      </c>
      <c r="AI22" s="82">
        <f t="shared" si="50"/>
        <v>2392.5</v>
      </c>
      <c r="AJ22" s="82">
        <f t="shared" si="51"/>
        <v>33375</v>
      </c>
      <c r="AK22" s="82">
        <f t="shared" si="52"/>
        <v>25714.28565</v>
      </c>
      <c r="AL22" s="82">
        <f t="shared" si="53"/>
        <v>24234.14635</v>
      </c>
      <c r="AM22" s="82">
        <f t="shared" si="54"/>
        <v>948292.6835</v>
      </c>
      <c r="AN22" s="85">
        <f t="shared" si="55"/>
        <v>81281.25</v>
      </c>
      <c r="AO22" s="82">
        <f t="shared" si="56"/>
        <v>27540</v>
      </c>
      <c r="AP22" s="82">
        <f t="shared" si="57"/>
        <v>14355</v>
      </c>
      <c r="AQ22" s="82">
        <f t="shared" si="58"/>
        <v>200250</v>
      </c>
      <c r="AR22" s="82">
        <f t="shared" si="59"/>
        <v>154285.7139</v>
      </c>
      <c r="AS22" s="82">
        <f t="shared" si="60"/>
        <v>96936.58541</v>
      </c>
      <c r="AT22" s="82">
        <f t="shared" si="61"/>
        <v>3793170.734</v>
      </c>
      <c r="AU22" s="86">
        <f t="shared" si="62"/>
        <v>325125</v>
      </c>
      <c r="AV22" s="82">
        <f t="shared" si="63"/>
        <v>110160</v>
      </c>
      <c r="AW22" s="82">
        <f t="shared" si="64"/>
        <v>57420</v>
      </c>
      <c r="AX22" s="82">
        <f t="shared" si="65"/>
        <v>801000</v>
      </c>
      <c r="AY22" s="82">
        <f t="shared" si="66"/>
        <v>617142.8556</v>
      </c>
      <c r="AZ22" s="82">
        <f t="shared" si="67"/>
        <v>1163239.025</v>
      </c>
      <c r="BA22" s="82">
        <f t="shared" si="68"/>
        <v>45518048.81</v>
      </c>
      <c r="BB22" s="82">
        <f t="shared" si="69"/>
        <v>3901500</v>
      </c>
      <c r="BC22" s="82">
        <f t="shared" si="70"/>
        <v>1321920</v>
      </c>
      <c r="BD22" s="82">
        <f t="shared" si="71"/>
        <v>689040</v>
      </c>
      <c r="BE22" s="82">
        <f t="shared" si="72"/>
        <v>9612000</v>
      </c>
      <c r="BF22" s="82">
        <f t="shared" si="73"/>
        <v>7405714.267</v>
      </c>
    </row>
    <row r="23">
      <c r="A23" s="78" t="s">
        <v>46</v>
      </c>
      <c r="B23" s="87">
        <v>0.35915493</v>
      </c>
      <c r="C23" s="80">
        <v>0.12195122</v>
      </c>
      <c r="D23" s="83">
        <v>0.43902439</v>
      </c>
      <c r="E23" s="80">
        <v>0.375</v>
      </c>
      <c r="F23" s="83">
        <v>0.725</v>
      </c>
      <c r="G23" s="80">
        <v>0.175</v>
      </c>
      <c r="H23" s="80">
        <v>0.225</v>
      </c>
      <c r="I23" s="83">
        <v>0.452380952</v>
      </c>
      <c r="J23" s="22">
        <f t="shared" si="27"/>
        <v>0.36585366</v>
      </c>
      <c r="K23" s="22">
        <f t="shared" si="28"/>
        <v>1.31707317</v>
      </c>
      <c r="L23" s="22">
        <f t="shared" si="29"/>
        <v>3.1875</v>
      </c>
      <c r="M23" s="22">
        <f t="shared" si="30"/>
        <v>2.175</v>
      </c>
      <c r="N23" s="22">
        <f t="shared" si="31"/>
        <v>0.175</v>
      </c>
      <c r="O23" s="22">
        <f t="shared" si="32"/>
        <v>0.675</v>
      </c>
      <c r="P23" s="22">
        <f t="shared" si="33"/>
        <v>1.357142856</v>
      </c>
      <c r="Q23" s="81">
        <f t="shared" si="34"/>
        <v>10.9756098</v>
      </c>
      <c r="R23" s="81">
        <f t="shared" si="35"/>
        <v>2634.14634</v>
      </c>
      <c r="S23" s="81">
        <f t="shared" si="36"/>
        <v>159.375</v>
      </c>
      <c r="T23" s="81">
        <f t="shared" si="37"/>
        <v>391.5</v>
      </c>
      <c r="U23" s="81">
        <f t="shared" si="74"/>
        <v>96.25</v>
      </c>
      <c r="V23" s="81">
        <f t="shared" si="75"/>
        <v>135</v>
      </c>
      <c r="W23" s="81">
        <f t="shared" si="38"/>
        <v>678.571428</v>
      </c>
      <c r="X23" s="81">
        <f t="shared" si="39"/>
        <v>263.4146352</v>
      </c>
      <c r="Y23" s="84">
        <f t="shared" si="40"/>
        <v>63219.51216</v>
      </c>
      <c r="Z23" s="81">
        <f t="shared" si="41"/>
        <v>3825</v>
      </c>
      <c r="AA23" s="84">
        <f t="shared" si="42"/>
        <v>9396</v>
      </c>
      <c r="AB23" s="81">
        <f t="shared" si="43"/>
        <v>2310</v>
      </c>
      <c r="AC23" s="81">
        <f t="shared" si="44"/>
        <v>3240</v>
      </c>
      <c r="AD23" s="84">
        <f t="shared" si="45"/>
        <v>16285.71427</v>
      </c>
      <c r="AE23" s="82">
        <f t="shared" si="46"/>
        <v>878.048784</v>
      </c>
      <c r="AF23" s="86">
        <f t="shared" si="47"/>
        <v>237073.1706</v>
      </c>
      <c r="AG23" s="82">
        <f t="shared" si="48"/>
        <v>11953.125</v>
      </c>
      <c r="AH23" s="82">
        <f t="shared" si="49"/>
        <v>33277.5</v>
      </c>
      <c r="AI23" s="82">
        <f t="shared" si="50"/>
        <v>8373.75</v>
      </c>
      <c r="AJ23" s="82">
        <f t="shared" si="51"/>
        <v>12015</v>
      </c>
      <c r="AK23" s="82">
        <f t="shared" si="52"/>
        <v>61071.42852</v>
      </c>
      <c r="AL23" s="82">
        <f t="shared" si="53"/>
        <v>5268.292704</v>
      </c>
      <c r="AM23" s="85">
        <f t="shared" si="54"/>
        <v>1422439.024</v>
      </c>
      <c r="AN23" s="82">
        <f t="shared" si="55"/>
        <v>71718.75</v>
      </c>
      <c r="AO23" s="85">
        <f t="shared" si="56"/>
        <v>199665</v>
      </c>
      <c r="AP23" s="82">
        <f t="shared" si="57"/>
        <v>50242.5</v>
      </c>
      <c r="AQ23" s="82">
        <f t="shared" si="58"/>
        <v>72090</v>
      </c>
      <c r="AR23" s="82">
        <f t="shared" si="59"/>
        <v>366428.5711</v>
      </c>
      <c r="AS23" s="82">
        <f t="shared" si="60"/>
        <v>21073.17082</v>
      </c>
      <c r="AT23" s="86">
        <f t="shared" si="61"/>
        <v>5689756.094</v>
      </c>
      <c r="AU23" s="82">
        <f t="shared" si="62"/>
        <v>286875</v>
      </c>
      <c r="AV23" s="86">
        <f t="shared" si="63"/>
        <v>798660</v>
      </c>
      <c r="AW23" s="82">
        <f t="shared" si="64"/>
        <v>200970</v>
      </c>
      <c r="AX23" s="82">
        <f t="shared" si="65"/>
        <v>288360</v>
      </c>
      <c r="AY23" s="82">
        <f t="shared" si="66"/>
        <v>1465714.284</v>
      </c>
      <c r="AZ23" s="82">
        <f t="shared" si="67"/>
        <v>252878.0498</v>
      </c>
      <c r="BA23" s="82">
        <f t="shared" si="68"/>
        <v>68277073.13</v>
      </c>
      <c r="BB23" s="82">
        <f t="shared" si="69"/>
        <v>3442500</v>
      </c>
      <c r="BC23" s="82">
        <f t="shared" si="70"/>
        <v>9583920</v>
      </c>
      <c r="BD23" s="82">
        <f t="shared" si="71"/>
        <v>2411640</v>
      </c>
      <c r="BE23" s="82">
        <f t="shared" si="72"/>
        <v>3460320</v>
      </c>
      <c r="BF23" s="82">
        <f t="shared" si="73"/>
        <v>17588571.41</v>
      </c>
    </row>
    <row r="24">
      <c r="A24" s="78" t="s">
        <v>66</v>
      </c>
      <c r="B24" s="79">
        <v>0.204225352</v>
      </c>
      <c r="C24" s="80">
        <v>0.292682927</v>
      </c>
      <c r="D24" s="80">
        <v>0.073170732</v>
      </c>
      <c r="E24" s="80">
        <v>0.075</v>
      </c>
      <c r="F24" s="80">
        <v>0.15</v>
      </c>
      <c r="G24" s="83">
        <v>0.425</v>
      </c>
      <c r="H24" s="80">
        <v>0.125</v>
      </c>
      <c r="I24" s="80">
        <v>0.285714286</v>
      </c>
      <c r="J24" s="22">
        <f t="shared" si="27"/>
        <v>0.878048781</v>
      </c>
      <c r="K24" s="22">
        <f t="shared" si="28"/>
        <v>0.219512196</v>
      </c>
      <c r="L24" s="22">
        <f t="shared" si="29"/>
        <v>0.6375</v>
      </c>
      <c r="M24" s="22">
        <f t="shared" si="30"/>
        <v>0.45</v>
      </c>
      <c r="N24" s="22">
        <f t="shared" si="31"/>
        <v>0.425</v>
      </c>
      <c r="O24" s="22">
        <f t="shared" si="32"/>
        <v>0.375</v>
      </c>
      <c r="P24" s="22">
        <f t="shared" si="33"/>
        <v>0.857142858</v>
      </c>
      <c r="Q24" s="81">
        <f t="shared" si="34"/>
        <v>26.34146343</v>
      </c>
      <c r="R24" s="81">
        <f t="shared" si="35"/>
        <v>439.024392</v>
      </c>
      <c r="S24" s="81">
        <f t="shared" si="36"/>
        <v>31.875</v>
      </c>
      <c r="T24" s="81">
        <f t="shared" si="37"/>
        <v>81</v>
      </c>
      <c r="U24" s="81">
        <f t="shared" si="74"/>
        <v>233.75</v>
      </c>
      <c r="V24" s="81">
        <f t="shared" si="75"/>
        <v>75</v>
      </c>
      <c r="W24" s="81">
        <f t="shared" si="38"/>
        <v>428.571429</v>
      </c>
      <c r="X24" s="81">
        <f t="shared" si="39"/>
        <v>632.1951223</v>
      </c>
      <c r="Y24" s="81">
        <f t="shared" si="40"/>
        <v>10536.58541</v>
      </c>
      <c r="Z24" s="81">
        <f t="shared" si="41"/>
        <v>765</v>
      </c>
      <c r="AA24" s="81">
        <f t="shared" si="42"/>
        <v>1944</v>
      </c>
      <c r="AB24" s="84">
        <f t="shared" si="43"/>
        <v>5610</v>
      </c>
      <c r="AC24" s="81">
        <f t="shared" si="44"/>
        <v>1800</v>
      </c>
      <c r="AD24" s="81">
        <f t="shared" si="45"/>
        <v>10285.7143</v>
      </c>
      <c r="AE24" s="82">
        <f t="shared" si="46"/>
        <v>2107.317074</v>
      </c>
      <c r="AF24" s="82">
        <f t="shared" si="47"/>
        <v>39512.19528</v>
      </c>
      <c r="AG24" s="82">
        <f t="shared" si="48"/>
        <v>2390.625</v>
      </c>
      <c r="AH24" s="82">
        <f t="shared" si="49"/>
        <v>6885</v>
      </c>
      <c r="AI24" s="82">
        <f t="shared" si="50"/>
        <v>20336.25</v>
      </c>
      <c r="AJ24" s="82">
        <f t="shared" si="51"/>
        <v>6675</v>
      </c>
      <c r="AK24" s="82">
        <f t="shared" si="52"/>
        <v>38571.42861</v>
      </c>
      <c r="AL24" s="82">
        <f t="shared" si="53"/>
        <v>12643.90245</v>
      </c>
      <c r="AM24" s="82">
        <f t="shared" si="54"/>
        <v>237073.1717</v>
      </c>
      <c r="AN24" s="82">
        <f t="shared" si="55"/>
        <v>14343.75</v>
      </c>
      <c r="AO24" s="82">
        <f t="shared" si="56"/>
        <v>41310</v>
      </c>
      <c r="AP24" s="85">
        <f t="shared" si="57"/>
        <v>122017.5</v>
      </c>
      <c r="AQ24" s="82">
        <f t="shared" si="58"/>
        <v>40050</v>
      </c>
      <c r="AR24" s="82">
        <f t="shared" si="59"/>
        <v>231428.5717</v>
      </c>
      <c r="AS24" s="82">
        <f t="shared" si="60"/>
        <v>50575.60979</v>
      </c>
      <c r="AT24" s="82">
        <f t="shared" si="61"/>
        <v>948292.6867</v>
      </c>
      <c r="AU24" s="82">
        <f t="shared" si="62"/>
        <v>57375</v>
      </c>
      <c r="AV24" s="82">
        <f t="shared" si="63"/>
        <v>165240</v>
      </c>
      <c r="AW24" s="86">
        <f t="shared" si="64"/>
        <v>488070</v>
      </c>
      <c r="AX24" s="82">
        <f t="shared" si="65"/>
        <v>160200</v>
      </c>
      <c r="AY24" s="82">
        <f t="shared" si="66"/>
        <v>925714.2866</v>
      </c>
      <c r="AZ24" s="82">
        <f t="shared" si="67"/>
        <v>606907.3174</v>
      </c>
      <c r="BA24" s="82">
        <f t="shared" si="68"/>
        <v>11379512.24</v>
      </c>
      <c r="BB24" s="82">
        <f t="shared" si="69"/>
        <v>688500</v>
      </c>
      <c r="BC24" s="82">
        <f t="shared" si="70"/>
        <v>1982880</v>
      </c>
      <c r="BD24" s="82">
        <f t="shared" si="71"/>
        <v>5856840</v>
      </c>
      <c r="BE24" s="82">
        <f t="shared" si="72"/>
        <v>1922400</v>
      </c>
      <c r="BF24" s="82">
        <f t="shared" si="73"/>
        <v>11108571.44</v>
      </c>
    </row>
    <row r="25">
      <c r="A25" s="78" t="s">
        <v>35</v>
      </c>
      <c r="B25" s="79">
        <v>0.088028169</v>
      </c>
      <c r="C25" s="80">
        <v>0.0</v>
      </c>
      <c r="D25" s="80">
        <v>0.146341463</v>
      </c>
      <c r="E25" s="80">
        <v>0.125</v>
      </c>
      <c r="F25" s="80">
        <v>0.0</v>
      </c>
      <c r="G25" s="80">
        <v>0.275</v>
      </c>
      <c r="H25" s="80">
        <v>0.025</v>
      </c>
      <c r="I25" s="80">
        <v>0.047619048</v>
      </c>
      <c r="J25" s="22">
        <f t="shared" si="27"/>
        <v>0</v>
      </c>
      <c r="K25" s="22">
        <f t="shared" si="28"/>
        <v>0.439024389</v>
      </c>
      <c r="L25" s="22">
        <f t="shared" si="29"/>
        <v>1.0625</v>
      </c>
      <c r="M25" s="22">
        <f t="shared" si="30"/>
        <v>0</v>
      </c>
      <c r="N25" s="22">
        <f t="shared" si="31"/>
        <v>0.275</v>
      </c>
      <c r="O25" s="22">
        <f t="shared" si="32"/>
        <v>0.075</v>
      </c>
      <c r="P25" s="22">
        <f t="shared" si="33"/>
        <v>0.142857144</v>
      </c>
      <c r="Q25" s="81">
        <f t="shared" si="34"/>
        <v>0</v>
      </c>
      <c r="R25" s="81">
        <f t="shared" si="35"/>
        <v>878.048778</v>
      </c>
      <c r="S25" s="81">
        <f t="shared" si="36"/>
        <v>53.125</v>
      </c>
      <c r="T25" s="81">
        <f t="shared" si="37"/>
        <v>0</v>
      </c>
      <c r="U25" s="81">
        <f t="shared" si="74"/>
        <v>151.25</v>
      </c>
      <c r="V25" s="81">
        <f t="shared" si="75"/>
        <v>15</v>
      </c>
      <c r="W25" s="81">
        <f t="shared" si="38"/>
        <v>71.428572</v>
      </c>
      <c r="X25" s="81">
        <f t="shared" si="39"/>
        <v>0</v>
      </c>
      <c r="Y25" s="81">
        <f t="shared" si="40"/>
        <v>21073.17067</v>
      </c>
      <c r="Z25" s="81">
        <f t="shared" si="41"/>
        <v>1275</v>
      </c>
      <c r="AA25" s="81">
        <f t="shared" si="42"/>
        <v>0</v>
      </c>
      <c r="AB25" s="81">
        <f t="shared" si="43"/>
        <v>3630</v>
      </c>
      <c r="AC25" s="81">
        <f t="shared" si="44"/>
        <v>360</v>
      </c>
      <c r="AD25" s="81">
        <f t="shared" si="45"/>
        <v>1714.285728</v>
      </c>
      <c r="AE25" s="82">
        <f t="shared" si="46"/>
        <v>0</v>
      </c>
      <c r="AF25" s="82">
        <f t="shared" si="47"/>
        <v>79024.39002</v>
      </c>
      <c r="AG25" s="82">
        <f t="shared" si="48"/>
        <v>3984.375</v>
      </c>
      <c r="AH25" s="82">
        <f t="shared" si="49"/>
        <v>0</v>
      </c>
      <c r="AI25" s="82">
        <f t="shared" si="50"/>
        <v>13158.75</v>
      </c>
      <c r="AJ25" s="82">
        <f t="shared" si="51"/>
        <v>1335</v>
      </c>
      <c r="AK25" s="82">
        <f t="shared" si="52"/>
        <v>6428.57148</v>
      </c>
      <c r="AL25" s="82">
        <f t="shared" si="53"/>
        <v>0</v>
      </c>
      <c r="AM25" s="82">
        <f t="shared" si="54"/>
        <v>474146.3401</v>
      </c>
      <c r="AN25" s="82">
        <f t="shared" si="55"/>
        <v>23906.25</v>
      </c>
      <c r="AO25" s="82">
        <f t="shared" si="56"/>
        <v>0</v>
      </c>
      <c r="AP25" s="82">
        <f t="shared" si="57"/>
        <v>78952.5</v>
      </c>
      <c r="AQ25" s="82">
        <f t="shared" si="58"/>
        <v>8010</v>
      </c>
      <c r="AR25" s="82">
        <f t="shared" si="59"/>
        <v>38571.42888</v>
      </c>
      <c r="AS25" s="82">
        <f t="shared" si="60"/>
        <v>0</v>
      </c>
      <c r="AT25" s="82">
        <f t="shared" si="61"/>
        <v>1896585.36</v>
      </c>
      <c r="AU25" s="82">
        <f t="shared" si="62"/>
        <v>95625</v>
      </c>
      <c r="AV25" s="82">
        <f t="shared" si="63"/>
        <v>0</v>
      </c>
      <c r="AW25" s="82">
        <f t="shared" si="64"/>
        <v>315810</v>
      </c>
      <c r="AX25" s="82">
        <f t="shared" si="65"/>
        <v>32040</v>
      </c>
      <c r="AY25" s="82">
        <f t="shared" si="66"/>
        <v>154285.7155</v>
      </c>
      <c r="AZ25" s="82">
        <f t="shared" si="67"/>
        <v>0</v>
      </c>
      <c r="BA25" s="82">
        <f t="shared" si="68"/>
        <v>22759024.33</v>
      </c>
      <c r="BB25" s="82">
        <f t="shared" si="69"/>
        <v>1147500</v>
      </c>
      <c r="BC25" s="82">
        <f t="shared" si="70"/>
        <v>0</v>
      </c>
      <c r="BD25" s="82">
        <f t="shared" si="71"/>
        <v>3789720</v>
      </c>
      <c r="BE25" s="82">
        <f t="shared" si="72"/>
        <v>384480</v>
      </c>
      <c r="BF25" s="82">
        <f t="shared" si="73"/>
        <v>1851428.586</v>
      </c>
    </row>
    <row r="26">
      <c r="A26" s="78" t="s">
        <v>159</v>
      </c>
      <c r="B26" s="79">
        <v>0.003521127</v>
      </c>
      <c r="C26" s="80">
        <v>0.0</v>
      </c>
      <c r="D26" s="80">
        <v>0.0</v>
      </c>
      <c r="E26" s="80">
        <v>0.0</v>
      </c>
      <c r="F26" s="80">
        <v>0.0</v>
      </c>
      <c r="G26" s="80">
        <v>0.025</v>
      </c>
      <c r="H26" s="80">
        <v>0.0</v>
      </c>
      <c r="I26" s="80">
        <v>0.0</v>
      </c>
      <c r="J26" s="22">
        <f t="shared" si="27"/>
        <v>0</v>
      </c>
      <c r="K26" s="22">
        <f t="shared" si="28"/>
        <v>0</v>
      </c>
      <c r="L26" s="22">
        <f t="shared" si="29"/>
        <v>0</v>
      </c>
      <c r="M26" s="22">
        <f t="shared" si="30"/>
        <v>0</v>
      </c>
      <c r="N26" s="22">
        <f t="shared" si="31"/>
        <v>0.025</v>
      </c>
      <c r="O26" s="22">
        <f t="shared" si="32"/>
        <v>0</v>
      </c>
      <c r="P26" s="22">
        <f t="shared" si="33"/>
        <v>0</v>
      </c>
      <c r="Q26" s="81">
        <f t="shared" si="34"/>
        <v>0</v>
      </c>
      <c r="R26" s="81">
        <f t="shared" si="35"/>
        <v>0</v>
      </c>
      <c r="S26" s="81">
        <f t="shared" si="36"/>
        <v>0</v>
      </c>
      <c r="T26" s="81">
        <f t="shared" si="37"/>
        <v>0</v>
      </c>
      <c r="U26" s="81">
        <f t="shared" si="74"/>
        <v>13.75</v>
      </c>
      <c r="V26" s="81">
        <f t="shared" si="75"/>
        <v>0</v>
      </c>
      <c r="W26" s="81">
        <f t="shared" si="38"/>
        <v>0</v>
      </c>
      <c r="X26" s="81">
        <f t="shared" si="39"/>
        <v>0</v>
      </c>
      <c r="Y26" s="81">
        <f t="shared" si="40"/>
        <v>0</v>
      </c>
      <c r="Z26" s="81">
        <f t="shared" si="41"/>
        <v>0</v>
      </c>
      <c r="AA26" s="81">
        <f t="shared" si="42"/>
        <v>0</v>
      </c>
      <c r="AB26" s="81">
        <f t="shared" si="43"/>
        <v>330</v>
      </c>
      <c r="AC26" s="81">
        <f t="shared" si="44"/>
        <v>0</v>
      </c>
      <c r="AD26" s="81">
        <f t="shared" si="45"/>
        <v>0</v>
      </c>
      <c r="AE26" s="82">
        <f t="shared" si="46"/>
        <v>0</v>
      </c>
      <c r="AF26" s="82">
        <f t="shared" si="47"/>
        <v>0</v>
      </c>
      <c r="AG26" s="82">
        <f t="shared" si="48"/>
        <v>0</v>
      </c>
      <c r="AH26" s="82">
        <f t="shared" si="49"/>
        <v>0</v>
      </c>
      <c r="AI26" s="82">
        <f t="shared" si="50"/>
        <v>1196.25</v>
      </c>
      <c r="AJ26" s="82">
        <f t="shared" si="51"/>
        <v>0</v>
      </c>
      <c r="AK26" s="82">
        <f t="shared" si="52"/>
        <v>0</v>
      </c>
      <c r="AL26" s="82">
        <f t="shared" si="53"/>
        <v>0</v>
      </c>
      <c r="AM26" s="82">
        <f t="shared" si="54"/>
        <v>0</v>
      </c>
      <c r="AN26" s="82">
        <f t="shared" si="55"/>
        <v>0</v>
      </c>
      <c r="AO26" s="82">
        <f t="shared" si="56"/>
        <v>0</v>
      </c>
      <c r="AP26" s="82">
        <f t="shared" si="57"/>
        <v>7177.5</v>
      </c>
      <c r="AQ26" s="82">
        <f t="shared" si="58"/>
        <v>0</v>
      </c>
      <c r="AR26" s="82">
        <f t="shared" si="59"/>
        <v>0</v>
      </c>
      <c r="AS26" s="82">
        <f t="shared" si="60"/>
        <v>0</v>
      </c>
      <c r="AT26" s="82">
        <f t="shared" si="61"/>
        <v>0</v>
      </c>
      <c r="AU26" s="82">
        <f t="shared" si="62"/>
        <v>0</v>
      </c>
      <c r="AV26" s="82">
        <f t="shared" si="63"/>
        <v>0</v>
      </c>
      <c r="AW26" s="82">
        <f t="shared" si="64"/>
        <v>28710</v>
      </c>
      <c r="AX26" s="82">
        <f t="shared" si="65"/>
        <v>0</v>
      </c>
      <c r="AY26" s="82">
        <f t="shared" si="66"/>
        <v>0</v>
      </c>
      <c r="AZ26" s="82">
        <f t="shared" si="67"/>
        <v>0</v>
      </c>
      <c r="BA26" s="82">
        <f t="shared" si="68"/>
        <v>0</v>
      </c>
      <c r="BB26" s="82">
        <f t="shared" si="69"/>
        <v>0</v>
      </c>
      <c r="BC26" s="82">
        <f t="shared" si="70"/>
        <v>0</v>
      </c>
      <c r="BD26" s="82">
        <f t="shared" si="71"/>
        <v>344520</v>
      </c>
      <c r="BE26" s="82">
        <f t="shared" si="72"/>
        <v>0</v>
      </c>
      <c r="BF26" s="82">
        <f t="shared" si="73"/>
        <v>0</v>
      </c>
    </row>
    <row r="27">
      <c r="A27" s="16"/>
      <c r="B27" s="16"/>
      <c r="C27" s="72">
        <v>41.0</v>
      </c>
      <c r="D27" s="72">
        <v>41.0</v>
      </c>
      <c r="E27" s="72">
        <v>40.0</v>
      </c>
      <c r="F27" s="72">
        <v>40.0</v>
      </c>
      <c r="G27" s="88">
        <v>40.0</v>
      </c>
      <c r="H27" s="72">
        <v>40.0</v>
      </c>
      <c r="I27" s="72">
        <v>42.0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89">
        <f t="shared" ref="AE27:BF27" si="76">SUM(AE20:AE26)</f>
        <v>7200.000007</v>
      </c>
      <c r="AF27" s="89">
        <f t="shared" si="76"/>
        <v>540000</v>
      </c>
      <c r="AG27" s="89">
        <f t="shared" si="76"/>
        <v>31875</v>
      </c>
      <c r="AH27" s="89">
        <f t="shared" si="76"/>
        <v>45900</v>
      </c>
      <c r="AI27" s="89">
        <f t="shared" si="76"/>
        <v>47850</v>
      </c>
      <c r="AJ27" s="89">
        <f t="shared" si="76"/>
        <v>53400</v>
      </c>
      <c r="AK27" s="89">
        <f t="shared" si="76"/>
        <v>135000</v>
      </c>
      <c r="AL27" s="89">
        <f t="shared" si="76"/>
        <v>43200.00004</v>
      </c>
      <c r="AM27" s="89">
        <f t="shared" si="76"/>
        <v>3240000</v>
      </c>
      <c r="AN27" s="89">
        <f t="shared" si="76"/>
        <v>191250</v>
      </c>
      <c r="AO27" s="89">
        <f t="shared" si="76"/>
        <v>275400</v>
      </c>
      <c r="AP27" s="89">
        <f t="shared" si="76"/>
        <v>287100</v>
      </c>
      <c r="AQ27" s="89">
        <f t="shared" si="76"/>
        <v>320400</v>
      </c>
      <c r="AR27" s="89">
        <f t="shared" si="76"/>
        <v>810000</v>
      </c>
      <c r="AS27" s="89">
        <f t="shared" si="76"/>
        <v>172800.0002</v>
      </c>
      <c r="AT27" s="89">
        <f t="shared" si="76"/>
        <v>12960000</v>
      </c>
      <c r="AU27" s="89">
        <f t="shared" si="76"/>
        <v>765000</v>
      </c>
      <c r="AV27" s="89">
        <f t="shared" si="76"/>
        <v>1101600</v>
      </c>
      <c r="AW27" s="89">
        <f t="shared" si="76"/>
        <v>1148400</v>
      </c>
      <c r="AX27" s="89">
        <f t="shared" si="76"/>
        <v>1281600</v>
      </c>
      <c r="AY27" s="89">
        <f t="shared" si="76"/>
        <v>3240000</v>
      </c>
      <c r="AZ27" s="89">
        <f t="shared" si="76"/>
        <v>2073600.002</v>
      </c>
      <c r="BA27" s="89">
        <f t="shared" si="76"/>
        <v>155520000</v>
      </c>
      <c r="BB27" s="89">
        <f t="shared" si="76"/>
        <v>9180000</v>
      </c>
      <c r="BC27" s="89">
        <f t="shared" si="76"/>
        <v>13219200</v>
      </c>
      <c r="BD27" s="89">
        <f t="shared" si="76"/>
        <v>13780800</v>
      </c>
      <c r="BE27" s="89">
        <f t="shared" si="76"/>
        <v>15379200</v>
      </c>
      <c r="BF27" s="89">
        <f t="shared" si="76"/>
        <v>38880000</v>
      </c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</row>
    <row r="29">
      <c r="A29" s="16"/>
      <c r="B29" s="16"/>
      <c r="C29" s="90"/>
      <c r="D29" s="90"/>
      <c r="E29" s="90"/>
      <c r="F29" s="90"/>
      <c r="G29" s="90"/>
      <c r="H29" s="90"/>
      <c r="I29" s="90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</row>
    <row r="30">
      <c r="A30" s="16"/>
      <c r="B30" s="16"/>
      <c r="C30" s="90"/>
      <c r="D30" s="90"/>
      <c r="E30" s="90"/>
      <c r="F30" s="91"/>
      <c r="G30" s="91"/>
      <c r="H30" s="91"/>
      <c r="I30" s="90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</row>
    <row r="31">
      <c r="A31" s="16"/>
      <c r="B31" s="16"/>
      <c r="C31" s="90"/>
      <c r="D31" s="90"/>
      <c r="E31" s="90"/>
      <c r="F31" s="92" t="s">
        <v>160</v>
      </c>
      <c r="G31" s="91"/>
      <c r="H31" s="91"/>
      <c r="I31" s="90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</row>
    <row r="32">
      <c r="A32" s="16"/>
      <c r="B32" s="16"/>
      <c r="C32" s="90"/>
      <c r="D32" s="90"/>
      <c r="E32" s="90"/>
      <c r="F32" s="90"/>
      <c r="G32" s="90"/>
      <c r="H32" s="90"/>
      <c r="I32" s="90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</row>
    <row r="33">
      <c r="A33" s="16"/>
      <c r="B33" s="16"/>
      <c r="C33" s="90"/>
      <c r="D33" s="90"/>
      <c r="E33" s="90"/>
      <c r="F33" s="90"/>
      <c r="G33" s="90"/>
      <c r="H33" s="90"/>
      <c r="I33" s="90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</row>
    <row r="34">
      <c r="A34" s="16"/>
      <c r="B34" s="16"/>
      <c r="C34" s="90"/>
      <c r="D34" s="90"/>
      <c r="E34" s="90"/>
      <c r="F34" s="90"/>
      <c r="G34" s="90"/>
      <c r="H34" s="90"/>
      <c r="I34" s="90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</row>
    <row r="35">
      <c r="A35" s="16"/>
      <c r="B35" s="16"/>
      <c r="C35" s="90"/>
      <c r="D35" s="90"/>
      <c r="E35" s="90"/>
      <c r="F35" s="90"/>
      <c r="G35" s="90"/>
      <c r="H35" s="90"/>
      <c r="I35" s="90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</row>
    <row r="36">
      <c r="A36" s="16"/>
      <c r="B36" s="16"/>
      <c r="C36" s="90"/>
      <c r="D36" s="90"/>
      <c r="E36" s="90"/>
      <c r="F36" s="90"/>
      <c r="G36" s="90"/>
      <c r="H36" s="90"/>
      <c r="I36" s="9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</row>
  </sheetData>
  <drawing r:id="rId1"/>
</worksheet>
</file>